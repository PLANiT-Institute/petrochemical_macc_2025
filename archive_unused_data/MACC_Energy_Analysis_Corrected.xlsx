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Summary" sheetId="1" state="visible" r:id="rId1"/>
    <sheet xmlns:r="http://schemas.openxmlformats.org/officeDocument/2006/relationships" name="2_Regional_RE_Deployment" sheetId="2" state="visible" r:id="rId2"/>
    <sheet xmlns:r="http://schemas.openxmlformats.org/officeDocument/2006/relationships" name="3_H2_Demand" sheetId="3" state="visible" r:id="rId3"/>
    <sheet xmlns:r="http://schemas.openxmlformats.org/officeDocument/2006/relationships" name="4_NCC_Facilities" sheetId="4" state="visible" r:id="rId4"/>
    <sheet xmlns:r="http://schemas.openxmlformats.org/officeDocument/2006/relationships" name="5_Correction_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30" customWidth="1" min="4" max="4"/>
  </cols>
  <sheetData>
    <row r="1">
      <c r="A1" s="1" t="inlineStr">
        <is>
          <t>Korean Petrochemical MACC Model - Energy Analysis</t>
        </is>
      </c>
    </row>
    <row r="2">
      <c r="A2" t="inlineStr">
        <is>
          <t>Matching Streamlit Dashboard Results</t>
        </is>
      </c>
    </row>
    <row r="4">
      <c r="A4" s="2" t="inlineStr">
        <is>
          <t>KEY PARAMETERS</t>
        </is>
      </c>
    </row>
    <row r="5">
      <c r="A5" t="inlineStr">
        <is>
          <t>Base Ethylene (2025)</t>
        </is>
      </c>
      <c r="B5" t="n">
        <v>11962</v>
      </c>
      <c r="C5" t="inlineStr">
        <is>
          <t>kt/year</t>
        </is>
      </c>
      <c r="D5" t="inlineStr">
        <is>
          <t>Ethylene production only</t>
        </is>
      </c>
    </row>
    <row r="6">
      <c r="A6" t="inlineStr">
        <is>
          <t>Total NCC Capacity (2025)</t>
        </is>
      </c>
      <c r="B6" t="n">
        <v>25667</v>
      </c>
      <c r="C6" t="inlineStr">
        <is>
          <t>kt/year</t>
        </is>
      </c>
      <c r="D6" t="inlineStr">
        <is>
          <t>ALL Naphtha Cracker products</t>
        </is>
      </c>
    </row>
    <row r="7">
      <c r="A7" t="inlineStr">
        <is>
          <t>H2 Intensity</t>
        </is>
      </c>
      <c r="B7" t="n">
        <v>0.5600000000000001</v>
      </c>
      <c r="C7" t="inlineStr">
        <is>
          <t>ton H2/ton C2H4</t>
        </is>
      </c>
      <c r="D7" t="inlineStr">
        <is>
          <t>For ethylene only</t>
        </is>
      </c>
    </row>
    <row r="8">
      <c r="A8" t="inlineStr">
        <is>
          <t>Electricity Intensity</t>
        </is>
      </c>
      <c r="B8" t="n">
        <v>5</v>
      </c>
      <c r="C8" t="inlineStr">
        <is>
          <t>MWh/ton</t>
        </is>
      </c>
      <c r="D8" t="inlineStr">
        <is>
          <t>For ALL NCC products</t>
        </is>
      </c>
    </row>
    <row r="9">
      <c r="A9" t="inlineStr">
        <is>
          <t>Shaheen Multiplier</t>
        </is>
      </c>
      <c r="B9" t="n">
        <v>1.15</v>
      </c>
      <c r="C9" t="inlineStr">
        <is>
          <t>×</t>
        </is>
      </c>
      <c r="D9" t="inlineStr">
        <is>
          <t>Production growth</t>
        </is>
      </c>
    </row>
    <row r="12">
      <c r="A12" s="2" t="inlineStr">
        <is>
          <t>VERIFIED RESULTS (Shaheen 2050) - MATCHING STREAMLIT</t>
        </is>
      </c>
    </row>
    <row r="13">
      <c r="A13" s="3" t="inlineStr">
        <is>
          <t>Metric</t>
        </is>
      </c>
      <c r="B13" s="3" t="inlineStr">
        <is>
          <t>Value</t>
        </is>
      </c>
      <c r="C13" s="3" t="inlineStr">
        <is>
          <t>Unit</t>
        </is>
      </c>
      <c r="D13" s="3" t="inlineStr">
        <is>
          <t>Note</t>
        </is>
      </c>
    </row>
    <row r="14">
      <c r="A14" s="4" t="inlineStr">
        <is>
          <t>H2 Demand (NCC-H2)</t>
        </is>
      </c>
      <c r="B14" s="4" t="n">
        <v>7703.5</v>
      </c>
      <c r="C14" s="4" t="inlineStr">
        <is>
          <t>kt/year</t>
        </is>
      </c>
      <c r="D14" s="4" t="inlineStr">
        <is>
          <t>Ethylene × 0.56</t>
        </is>
      </c>
    </row>
    <row r="15">
      <c r="A15" s="4" t="inlineStr">
        <is>
          <t>NCC-Electricity (ALL NCC)</t>
        </is>
      </c>
      <c r="B15" s="4" t="n">
        <v>147.6</v>
      </c>
      <c r="C15" s="4" t="inlineStr">
        <is>
          <t>TWh/year</t>
        </is>
      </c>
      <c r="D15" s="4" t="inlineStr">
        <is>
          <t>ALL NCC × 5.0 MWh/ton</t>
        </is>
      </c>
    </row>
    <row r="16">
      <c r="A16" s="4" t="inlineStr">
        <is>
          <t>Grid→RE Switching</t>
        </is>
      </c>
      <c r="B16" s="4" t="inlineStr">
        <is>
          <t>~30</t>
        </is>
      </c>
      <c r="C16" s="4" t="inlineStr">
        <is>
          <t>TWh/year</t>
        </is>
      </c>
      <c r="D16" s="4" t="inlineStr">
        <is>
          <t>Existing electricity to RE</t>
        </is>
      </c>
    </row>
    <row r="17">
      <c r="A17" s="4" t="inlineStr">
        <is>
          <t>Total RE Deployment</t>
        </is>
      </c>
      <c r="B17" s="4" t="inlineStr">
        <is>
          <t>~180</t>
        </is>
      </c>
      <c r="C17" s="4" t="inlineStr">
        <is>
          <t>TWh/year</t>
        </is>
      </c>
      <c r="D17" s="4" t="inlineStr">
        <is>
          <t>Streamlit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Regional RE Deployment (Matching Streamlit)</t>
        </is>
      </c>
    </row>
    <row r="2">
      <c r="A2" t="inlineStr">
        <is>
          <t>NCC-Electricity for ALL Naphtha Cracker products</t>
        </is>
      </c>
    </row>
    <row r="4">
      <c r="A4" s="3" t="inlineStr">
        <is>
          <t>Location</t>
        </is>
      </c>
      <c r="B4" s="3" t="inlineStr">
        <is>
          <t>NCC Facilities</t>
        </is>
      </c>
      <c r="C4" s="3" t="inlineStr">
        <is>
          <t>NCC Capacity (kt)</t>
        </is>
      </c>
      <c r="D4" s="3" t="inlineStr">
        <is>
          <t>Shaheen 2050 (kt)</t>
        </is>
      </c>
      <c r="E4" s="3" t="inlineStr">
        <is>
          <t>NCC-Elec (TWh)</t>
        </is>
      </c>
      <c r="F4" s="3" t="inlineStr">
        <is>
          <t>Grid→RE (TWh)</t>
        </is>
      </c>
      <c r="G4" s="3" t="inlineStr">
        <is>
          <t>Total RE (TWh)</t>
        </is>
      </c>
      <c r="H4" s="3" t="inlineStr">
        <is>
          <t>Streamlit Value</t>
        </is>
      </c>
    </row>
    <row r="5">
      <c r="A5" s="4" t="inlineStr">
        <is>
          <t>Yeosu</t>
        </is>
      </c>
      <c r="B5" s="4" t="n">
        <v>13</v>
      </c>
      <c r="C5" s="4" t="n">
        <v>10766</v>
      </c>
      <c r="D5" s="4">
        <f>C5*1.15</f>
        <v/>
      </c>
      <c r="E5" s="4">
        <f>D5*5.0/1000</f>
        <v/>
      </c>
      <c r="F5" s="4" t="n">
        <v>0.2</v>
      </c>
      <c r="G5" s="4">
        <f>E5+F5</f>
        <v/>
      </c>
      <c r="H5" s="4" t="n">
        <v>62.1</v>
      </c>
    </row>
    <row r="6">
      <c r="A6" s="4" t="inlineStr">
        <is>
          <t>Daesan</t>
        </is>
      </c>
      <c r="B6" s="4" t="n">
        <v>13</v>
      </c>
      <c r="C6" s="4" t="n">
        <v>8643</v>
      </c>
      <c r="D6" s="4">
        <f>C6*1.15</f>
        <v/>
      </c>
      <c r="E6" s="4">
        <f>D6*5.0/1000</f>
        <v/>
      </c>
      <c r="F6" s="4" t="n">
        <v>9.199999999999999</v>
      </c>
      <c r="G6" s="4">
        <f>E6+F6</f>
        <v/>
      </c>
      <c r="H6" s="4" t="n">
        <v>58.9</v>
      </c>
    </row>
    <row r="7">
      <c r="A7" s="4" t="inlineStr">
        <is>
          <t>Ulsan</t>
        </is>
      </c>
      <c r="B7" s="4" t="n">
        <v>11</v>
      </c>
      <c r="C7" s="4" t="n">
        <v>3776</v>
      </c>
      <c r="D7" s="4">
        <f>C7*1.15</f>
        <v/>
      </c>
      <c r="E7" s="4">
        <f>D7*5.0/1000</f>
        <v/>
      </c>
      <c r="F7" s="4" t="n">
        <v>21.7</v>
      </c>
      <c r="G7" s="4">
        <f>E7+F7</f>
        <v/>
      </c>
      <c r="H7" s="4" t="n">
        <v>43.4</v>
      </c>
    </row>
    <row r="8">
      <c r="A8" s="4" t="inlineStr">
        <is>
          <t>Onsan</t>
        </is>
      </c>
      <c r="B8" s="4" t="n">
        <v>4</v>
      </c>
      <c r="C8" s="4" t="n">
        <v>2482</v>
      </c>
      <c r="D8" s="4">
        <f>C8*1.15</f>
        <v/>
      </c>
      <c r="E8" s="4">
        <f>D8*5.0/1000</f>
        <v/>
      </c>
      <c r="F8" s="4" t="n">
        <v>3.5</v>
      </c>
      <c r="G8" s="4">
        <f>E8+F8</f>
        <v/>
      </c>
      <c r="H8" s="4" t="n">
        <v>17.8</v>
      </c>
    </row>
    <row r="9">
      <c r="A9" s="5" t="inlineStr">
        <is>
          <t>TOTAL</t>
        </is>
      </c>
      <c r="B9" s="5">
        <f>SUM(B5:B8)</f>
        <v/>
      </c>
      <c r="C9" s="5">
        <f>SUM(C5:C8)</f>
        <v/>
      </c>
      <c r="D9" s="5">
        <f>SUM(D5:D8)</f>
        <v/>
      </c>
      <c r="E9" s="5">
        <f>SUM(E5:E8)</f>
        <v/>
      </c>
      <c r="F9" s="5">
        <f>SUM(F5:F8)</f>
        <v/>
      </c>
      <c r="G9" s="5">
        <f>SUM(G5:G8)</f>
        <v/>
      </c>
      <c r="H9" s="5" t="n">
        <v>182.2</v>
      </c>
    </row>
    <row r="11">
      <c r="A11" t="inlineStr">
        <is>
          <t>Notes:</t>
        </is>
      </c>
    </row>
    <row r="12">
      <c r="A12" t="inlineStr">
        <is>
          <t>- NCC-Elec = ALL Naphtha Cracker products × 5.0 MWh/ton (Ethylene + Propylene + Butadiene)</t>
        </is>
      </c>
    </row>
    <row r="13">
      <c r="A13" t="inlineStr">
        <is>
          <t>- Grid→RE = Existing electricity consumption switching to renewable</t>
        </is>
      </c>
    </row>
    <row r="14">
      <c r="A14" t="inlineStr">
        <is>
          <t>- Total RE = NCC-Elec + Grid→RE (matches Streamlit chart)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18" customWidth="1" min="4" max="4"/>
    <col width="15" customWidth="1" min="5" max="5"/>
    <col width="12" customWidth="1" min="6" max="6"/>
    <col width="45" customWidth="1" min="7" max="7"/>
  </cols>
  <sheetData>
    <row r="1">
      <c r="A1" s="1" t="inlineStr">
        <is>
          <t>H2 Demand by Region (NCC-H2 Pathway)</t>
        </is>
      </c>
    </row>
    <row r="2">
      <c r="A2" t="inlineStr">
        <is>
          <t>H2 = Ethylene × 0.56 ton H2/ton (for ethylene only)</t>
        </is>
      </c>
    </row>
    <row r="4">
      <c r="A4" s="3" t="inlineStr">
        <is>
          <t>Location</t>
        </is>
      </c>
      <c r="B4" s="3" t="inlineStr">
        <is>
          <t>Ethylene Facilities</t>
        </is>
      </c>
      <c r="C4" s="3" t="inlineStr">
        <is>
          <t>Ethylene (kt)</t>
        </is>
      </c>
      <c r="D4" s="3" t="inlineStr">
        <is>
          <t>Shaheen 2050 (kt)</t>
        </is>
      </c>
      <c r="E4" s="3" t="inlineStr">
        <is>
          <t>H2 Demand (kt)</t>
        </is>
      </c>
      <c r="F4" s="3" t="inlineStr">
        <is>
          <t>Share (%)</t>
        </is>
      </c>
      <c r="G4" s="3" t="inlineStr">
        <is>
          <t>Companies</t>
        </is>
      </c>
    </row>
    <row r="5">
      <c r="A5" s="4" t="inlineStr">
        <is>
          <t>Yeosu</t>
        </is>
      </c>
      <c r="B5" s="4" t="n">
        <v>4</v>
      </c>
      <c r="C5" s="4" t="n">
        <v>5445</v>
      </c>
      <c r="D5" s="4">
        <f>C5*1.15</f>
        <v/>
      </c>
      <c r="E5" s="4">
        <f>D5*0.56</f>
        <v/>
      </c>
      <c r="F5" s="4">
        <f>E5/E9*100</f>
        <v/>
      </c>
      <c r="G5" s="4" t="inlineStr">
        <is>
          <t>Lotte Chemical, LG Chem, Yeochon NCC, GS Caltex</t>
        </is>
      </c>
    </row>
    <row r="6">
      <c r="A6" s="4" t="inlineStr">
        <is>
          <t>Daesan</t>
        </is>
      </c>
      <c r="B6" s="4" t="n">
        <v>4</v>
      </c>
      <c r="C6" s="4" t="n">
        <v>4775</v>
      </c>
      <c r="D6" s="4">
        <f>C6*1.15</f>
        <v/>
      </c>
      <c r="E6" s="4">
        <f>D6*0.56</f>
        <v/>
      </c>
      <c r="F6" s="4">
        <f>E6/E9*100</f>
        <v/>
      </c>
      <c r="G6" s="4" t="inlineStr">
        <is>
          <t>Lotte Chemical, HD Hyundai Chemical, LG Chem, Hanwha TotalEnergies</t>
        </is>
      </c>
    </row>
    <row r="7">
      <c r="A7" s="4" t="inlineStr">
        <is>
          <t>Ulsan</t>
        </is>
      </c>
      <c r="B7" s="4" t="n">
        <v>1</v>
      </c>
      <c r="C7" s="4" t="n">
        <v>660</v>
      </c>
      <c r="D7" s="4">
        <f>C7*1.15</f>
        <v/>
      </c>
      <c r="E7" s="4">
        <f>D7*0.56</f>
        <v/>
      </c>
      <c r="F7" s="4">
        <f>E7/E9*100</f>
        <v/>
      </c>
      <c r="G7" s="4" t="inlineStr">
        <is>
          <t>SK Geocentric</t>
        </is>
      </c>
    </row>
    <row r="8">
      <c r="A8" s="4" t="inlineStr">
        <is>
          <t>Onsan</t>
        </is>
      </c>
      <c r="B8" s="4" t="n">
        <v>2</v>
      </c>
      <c r="C8" s="4" t="n">
        <v>1082</v>
      </c>
      <c r="D8" s="4">
        <f>C8*1.15</f>
        <v/>
      </c>
      <c r="E8" s="4">
        <f>D8*0.56</f>
        <v/>
      </c>
      <c r="F8" s="4">
        <f>E8/E9*100</f>
        <v/>
      </c>
      <c r="G8" s="4" t="inlineStr">
        <is>
          <t>Daehan Oil Chemical, S-Oil</t>
        </is>
      </c>
    </row>
    <row r="9">
      <c r="A9" s="5" t="inlineStr">
        <is>
          <t>TOTAL</t>
        </is>
      </c>
      <c r="B9" s="5">
        <f>SUM(B5:B8)</f>
        <v/>
      </c>
      <c r="C9" s="5">
        <f>SUM(C5:C8)</f>
        <v/>
      </c>
      <c r="D9" s="5">
        <f>SUM(D5:D8)</f>
        <v/>
      </c>
      <c r="E9" s="5">
        <f>SUM(E5:E8)</f>
        <v/>
      </c>
      <c r="F9" s="5" t="inlineStr">
        <is>
          <t>100%</t>
        </is>
      </c>
      <c r="G9" s="5" t="inlineStr">
        <is>
          <t>11 ethylene facilities</t>
        </is>
      </c>
    </row>
    <row r="11">
      <c r="A11" t="inlineStr">
        <is>
          <t>VERIFICATION:</t>
        </is>
      </c>
    </row>
    <row r="12">
      <c r="A12" t="inlineStr">
        <is>
          <t>Total Ethylene: 11,962 kt</t>
        </is>
      </c>
    </row>
    <row r="13">
      <c r="A13" t="inlineStr">
        <is>
          <t>Shaheen 2050: 13,756 kt</t>
        </is>
      </c>
    </row>
    <row r="14">
      <c r="A14" t="inlineStr">
        <is>
          <t>H2 Demand: 7,703.5 kt ✓ (matches 7,703.5 kt)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25" customWidth="1" min="3" max="3"/>
    <col width="10" customWidth="1" min="4" max="4"/>
    <col width="12" customWidth="1" min="5" max="5"/>
    <col width="8" customWidth="1" min="6" max="6"/>
    <col width="15" customWidth="1" min="7" max="7"/>
  </cols>
  <sheetData>
    <row r="1">
      <c r="A1" s="1" t="inlineStr">
        <is>
          <t>Naphtha Cracker Facilities (41 Total)</t>
        </is>
      </c>
    </row>
    <row r="2">
      <c r="A2" t="inlineStr">
        <is>
          <t>Target for NCC-H2 or NCC-Electricity technology</t>
        </is>
      </c>
    </row>
    <row r="4">
      <c r="A4" s="3" t="inlineStr">
        <is>
          <t>#</t>
        </is>
      </c>
      <c r="B4" s="3" t="inlineStr">
        <is>
          <t>Product</t>
        </is>
      </c>
      <c r="C4" s="3" t="inlineStr">
        <is>
          <t>Company</t>
        </is>
      </c>
      <c r="D4" s="3" t="inlineStr">
        <is>
          <t>Location</t>
        </is>
      </c>
      <c r="E4" s="3" t="inlineStr">
        <is>
          <t>Capacity (kt)</t>
        </is>
      </c>
      <c r="F4" s="3" t="inlineStr">
        <is>
          <t>Year</t>
        </is>
      </c>
      <c r="G4" s="3" t="inlineStr">
        <is>
          <t>NCC-Elec (TWh)*</t>
        </is>
      </c>
    </row>
    <row r="5">
      <c r="A5" s="4" t="n">
        <v>1</v>
      </c>
      <c r="B5" s="4" t="inlineStr">
        <is>
          <t>Ethylene</t>
        </is>
      </c>
      <c r="C5" s="4" t="inlineStr">
        <is>
          <t>Lotte Chemical</t>
        </is>
      </c>
      <c r="D5" s="4" t="inlineStr">
        <is>
          <t>Daesan</t>
        </is>
      </c>
      <c r="E5" s="4" t="n">
        <v>1100</v>
      </c>
      <c r="F5" s="4" t="n">
        <v>1991</v>
      </c>
      <c r="G5" s="4">
        <f>E5*1.15*5.0/1000</f>
        <v/>
      </c>
    </row>
    <row r="6">
      <c r="A6" s="4" t="n">
        <v>2</v>
      </c>
      <c r="B6" s="4" t="inlineStr">
        <is>
          <t>Ethylene</t>
        </is>
      </c>
      <c r="C6" s="4" t="inlineStr">
        <is>
          <t>HD Hyundai Chemical</t>
        </is>
      </c>
      <c r="D6" s="4" t="inlineStr">
        <is>
          <t>Daesan</t>
        </is>
      </c>
      <c r="E6" s="4" t="n">
        <v>850</v>
      </c>
      <c r="F6" s="4" t="n">
        <v>2021</v>
      </c>
      <c r="G6" s="4">
        <f>E6*1.15*5.0/1000</f>
        <v/>
      </c>
    </row>
    <row r="7">
      <c r="A7" s="4" t="n">
        <v>3</v>
      </c>
      <c r="B7" s="4" t="inlineStr">
        <is>
          <t>Ethylene</t>
        </is>
      </c>
      <c r="C7" s="4" t="inlineStr">
        <is>
          <t>LG Chem</t>
        </is>
      </c>
      <c r="D7" s="4" t="inlineStr">
        <is>
          <t>Daesan</t>
        </is>
      </c>
      <c r="E7" s="4" t="n">
        <v>1300</v>
      </c>
      <c r="F7" s="4" t="n">
        <v>1991</v>
      </c>
      <c r="G7" s="4">
        <f>E7*1.15*5.0/1000</f>
        <v/>
      </c>
    </row>
    <row r="8">
      <c r="A8" s="4" t="n">
        <v>4</v>
      </c>
      <c r="B8" s="4" t="inlineStr">
        <is>
          <t>Ethylene</t>
        </is>
      </c>
      <c r="C8" s="4" t="inlineStr">
        <is>
          <t>Hanwha TotalEnergies</t>
        </is>
      </c>
      <c r="D8" s="4" t="inlineStr">
        <is>
          <t>Daesan</t>
        </is>
      </c>
      <c r="E8" s="4" t="n">
        <v>1525</v>
      </c>
      <c r="F8" s="4" t="n">
        <v>1991</v>
      </c>
      <c r="G8" s="4">
        <f>E8*1.15*5.0/1000</f>
        <v/>
      </c>
    </row>
    <row r="9">
      <c r="A9" s="4" t="n">
        <v>5</v>
      </c>
      <c r="B9" s="4" t="inlineStr">
        <is>
          <t>Ethylene</t>
        </is>
      </c>
      <c r="C9" s="4" t="inlineStr">
        <is>
          <t>Lotte Chemical</t>
        </is>
      </c>
      <c r="D9" s="4" t="inlineStr">
        <is>
          <t>Yeosu</t>
        </is>
      </c>
      <c r="E9" s="4" t="n">
        <v>1230</v>
      </c>
      <c r="F9" s="4" t="n">
        <v>1992</v>
      </c>
      <c r="G9" s="4">
        <f>E9*1.15*5.0/1000</f>
        <v/>
      </c>
    </row>
    <row r="10">
      <c r="A10" s="4" t="n">
        <v>6</v>
      </c>
      <c r="B10" s="4" t="inlineStr">
        <is>
          <t>Ethylene</t>
        </is>
      </c>
      <c r="C10" s="4" t="inlineStr">
        <is>
          <t>LG Chem</t>
        </is>
      </c>
      <c r="D10" s="4" t="inlineStr">
        <is>
          <t>Yeosu</t>
        </is>
      </c>
      <c r="E10" s="4" t="n">
        <v>1030</v>
      </c>
      <c r="F10" s="4" t="n">
        <v>2021</v>
      </c>
      <c r="G10" s="4">
        <f>E10*1.15*5.0/1000</f>
        <v/>
      </c>
    </row>
    <row r="11">
      <c r="A11" s="4" t="n">
        <v>7</v>
      </c>
      <c r="B11" s="4" t="inlineStr">
        <is>
          <t>Ethylene</t>
        </is>
      </c>
      <c r="C11" s="4" t="inlineStr">
        <is>
          <t>Yeochon NCC</t>
        </is>
      </c>
      <c r="D11" s="4" t="inlineStr">
        <is>
          <t>Yeosu</t>
        </is>
      </c>
      <c r="E11" s="4" t="n">
        <v>2285</v>
      </c>
      <c r="F11" s="4" t="n">
        <v>1979</v>
      </c>
      <c r="G11" s="4">
        <f>E11*1.15*5.0/1000</f>
        <v/>
      </c>
    </row>
    <row r="12">
      <c r="A12" s="4" t="n">
        <v>8</v>
      </c>
      <c r="B12" s="4" t="inlineStr">
        <is>
          <t>Ethylene</t>
        </is>
      </c>
      <c r="C12" s="4" t="inlineStr">
        <is>
          <t>GS Caltex</t>
        </is>
      </c>
      <c r="D12" s="4" t="inlineStr">
        <is>
          <t>Yeosu</t>
        </is>
      </c>
      <c r="E12" s="4" t="n">
        <v>900</v>
      </c>
      <c r="F12" s="4" t="n">
        <v>2021</v>
      </c>
      <c r="G12" s="4">
        <f>E12*1.15*5.0/1000</f>
        <v/>
      </c>
    </row>
    <row r="13">
      <c r="A13" s="4" t="n">
        <v>9</v>
      </c>
      <c r="B13" s="4" t="inlineStr">
        <is>
          <t>Ethylene</t>
        </is>
      </c>
      <c r="C13" s="4" t="inlineStr">
        <is>
          <t>Daehan Oil Chemical</t>
        </is>
      </c>
      <c r="D13" s="4" t="inlineStr">
        <is>
          <t>Onsan</t>
        </is>
      </c>
      <c r="E13" s="4" t="n">
        <v>900</v>
      </c>
      <c r="F13" s="4" t="n">
        <v>1991</v>
      </c>
      <c r="G13" s="4">
        <f>E13*1.15*5.0/1000</f>
        <v/>
      </c>
    </row>
    <row r="14">
      <c r="A14" s="4" t="n">
        <v>10</v>
      </c>
      <c r="B14" s="4" t="inlineStr">
        <is>
          <t>Ethylene</t>
        </is>
      </c>
      <c r="C14" s="4" t="inlineStr">
        <is>
          <t>S-Oil</t>
        </is>
      </c>
      <c r="D14" s="4" t="inlineStr">
        <is>
          <t>Onsan</t>
        </is>
      </c>
      <c r="E14" s="4" t="n">
        <v>182</v>
      </c>
      <c r="F14" s="4" t="n">
        <v>2018</v>
      </c>
      <c r="G14" s="4">
        <f>E14*1.15*5.0/1000</f>
        <v/>
      </c>
    </row>
    <row r="15">
      <c r="A15" s="4" t="n">
        <v>11</v>
      </c>
      <c r="B15" s="4" t="inlineStr">
        <is>
          <t>Ethylene</t>
        </is>
      </c>
      <c r="C15" s="4" t="inlineStr">
        <is>
          <t>SK Geocentric</t>
        </is>
      </c>
      <c r="D15" s="4" t="inlineStr">
        <is>
          <t>Ulsan</t>
        </is>
      </c>
      <c r="E15" s="4" t="n">
        <v>660</v>
      </c>
      <c r="F15" s="4" t="n">
        <v>1989</v>
      </c>
      <c r="G15" s="4">
        <f>E15*1.15*5.0/1000</f>
        <v/>
      </c>
    </row>
    <row r="16">
      <c r="A16" s="4" t="n">
        <v>12</v>
      </c>
      <c r="B16" s="4" t="inlineStr">
        <is>
          <t>Propylene</t>
        </is>
      </c>
      <c r="C16" s="4" t="inlineStr">
        <is>
          <t>Lotte Chemical</t>
        </is>
      </c>
      <c r="D16" s="4" t="inlineStr">
        <is>
          <t>Daesan</t>
        </is>
      </c>
      <c r="E16" s="4" t="n">
        <v>550</v>
      </c>
      <c r="F16" s="4" t="n">
        <v>1997</v>
      </c>
      <c r="G16" s="4">
        <f>E16*1.15*5.0/1000</f>
        <v/>
      </c>
    </row>
    <row r="17">
      <c r="A17" s="4" t="n">
        <v>13</v>
      </c>
      <c r="B17" s="4" t="inlineStr">
        <is>
          <t>Propylene</t>
        </is>
      </c>
      <c r="C17" s="4" t="inlineStr">
        <is>
          <t>HDHyundai Oilbank</t>
        </is>
      </c>
      <c r="D17" s="4" t="inlineStr">
        <is>
          <t>Daesan</t>
        </is>
      </c>
      <c r="E17" s="4" t="n">
        <v>420</v>
      </c>
      <c r="F17" s="4" t="n">
        <v>2011</v>
      </c>
      <c r="G17" s="4">
        <f>E17*1.15*5.0/1000</f>
        <v/>
      </c>
    </row>
    <row r="18">
      <c r="A18" s="4" t="n">
        <v>14</v>
      </c>
      <c r="B18" s="4" t="inlineStr">
        <is>
          <t>Propylene</t>
        </is>
      </c>
      <c r="C18" s="4" t="inlineStr">
        <is>
          <t>HD Hyundai Chemical</t>
        </is>
      </c>
      <c r="D18" s="4" t="inlineStr">
        <is>
          <t>Daesan</t>
        </is>
      </c>
      <c r="E18" s="4" t="n">
        <v>451</v>
      </c>
      <c r="F18" s="4" t="n">
        <v>2021</v>
      </c>
      <c r="G18" s="4">
        <f>E18*1.15*5.0/1000</f>
        <v/>
      </c>
    </row>
    <row r="19">
      <c r="A19" s="4" t="n">
        <v>15</v>
      </c>
      <c r="B19" s="4" t="inlineStr">
        <is>
          <t>Propylene</t>
        </is>
      </c>
      <c r="C19" s="4" t="inlineStr">
        <is>
          <t>LG Chem</t>
        </is>
      </c>
      <c r="D19" s="4" t="inlineStr">
        <is>
          <t>Daesan</t>
        </is>
      </c>
      <c r="E19" s="4" t="n">
        <v>680</v>
      </c>
      <c r="F19" s="4" t="n">
        <v>1991</v>
      </c>
      <c r="G19" s="4">
        <f>E19*1.15*5.0/1000</f>
        <v/>
      </c>
    </row>
    <row r="20">
      <c r="A20" s="4" t="n">
        <v>16</v>
      </c>
      <c r="B20" s="4" t="inlineStr">
        <is>
          <t>Propylene</t>
        </is>
      </c>
      <c r="C20" s="4" t="inlineStr">
        <is>
          <t>Hanwha TotalEnergies</t>
        </is>
      </c>
      <c r="D20" s="4" t="inlineStr">
        <is>
          <t>Daesan</t>
        </is>
      </c>
      <c r="E20" s="4" t="n">
        <v>1064</v>
      </c>
      <c r="F20" s="4" t="n">
        <v>1991</v>
      </c>
      <c r="G20" s="4">
        <f>E20*1.15*5.0/1000</f>
        <v/>
      </c>
    </row>
    <row r="21">
      <c r="A21" s="4" t="n">
        <v>17</v>
      </c>
      <c r="B21" s="4" t="inlineStr">
        <is>
          <t>Propylene</t>
        </is>
      </c>
      <c r="C21" s="4" t="inlineStr">
        <is>
          <t>Lotte Chemical</t>
        </is>
      </c>
      <c r="D21" s="4" t="inlineStr">
        <is>
          <t>Yeosu</t>
        </is>
      </c>
      <c r="E21" s="4" t="n">
        <v>641</v>
      </c>
      <c r="F21" s="4" t="n">
        <v>1992</v>
      </c>
      <c r="G21" s="4">
        <f>E21*1.15*5.0/1000</f>
        <v/>
      </c>
    </row>
    <row r="22">
      <c r="A22" s="4" t="n">
        <v>18</v>
      </c>
      <c r="B22" s="4" t="inlineStr">
        <is>
          <t>Propylene</t>
        </is>
      </c>
      <c r="C22" s="4" t="inlineStr">
        <is>
          <t>LG Chem</t>
        </is>
      </c>
      <c r="D22" s="4" t="inlineStr">
        <is>
          <t>Yeosu</t>
        </is>
      </c>
      <c r="E22" s="4" t="n">
        <v>1300</v>
      </c>
      <c r="F22" s="4" t="n">
        <v>2021</v>
      </c>
      <c r="G22" s="4">
        <f>E22*1.15*5.0/1000</f>
        <v/>
      </c>
    </row>
    <row r="23">
      <c r="A23" s="4" t="n">
        <v>19</v>
      </c>
      <c r="B23" s="4" t="inlineStr">
        <is>
          <t>Propylene</t>
        </is>
      </c>
      <c r="C23" s="4" t="inlineStr">
        <is>
          <t>Yeochon NCC</t>
        </is>
      </c>
      <c r="D23" s="4" t="inlineStr">
        <is>
          <t>Yeosu</t>
        </is>
      </c>
      <c r="E23" s="4" t="n">
        <v>1289</v>
      </c>
      <c r="F23" s="4" t="n">
        <v>1979</v>
      </c>
      <c r="G23" s="4">
        <f>E23*1.15*5.0/1000</f>
        <v/>
      </c>
    </row>
    <row r="24">
      <c r="A24" s="4" t="n">
        <v>20</v>
      </c>
      <c r="B24" s="4" t="inlineStr">
        <is>
          <t>Propylene</t>
        </is>
      </c>
      <c r="C24" s="4" t="inlineStr">
        <is>
          <t>GS Caltex</t>
        </is>
      </c>
      <c r="D24" s="4" t="inlineStr">
        <is>
          <t>Yeosu</t>
        </is>
      </c>
      <c r="E24" s="4" t="n">
        <v>970</v>
      </c>
      <c r="F24" s="4" t="n">
        <v>2021</v>
      </c>
      <c r="G24" s="4">
        <f>E24*1.15*5.0/1000</f>
        <v/>
      </c>
    </row>
    <row r="25">
      <c r="A25" s="4" t="n">
        <v>21</v>
      </c>
      <c r="B25" s="4" t="inlineStr">
        <is>
          <t>Propylene</t>
        </is>
      </c>
      <c r="C25" s="4" t="inlineStr">
        <is>
          <t>Daehan Oil Chemical</t>
        </is>
      </c>
      <c r="D25" s="4" t="inlineStr">
        <is>
          <t>Onsan</t>
        </is>
      </c>
      <c r="E25" s="4" t="n">
        <v>560</v>
      </c>
      <c r="F25" s="4" t="n">
        <v>1991</v>
      </c>
      <c r="G25" s="4">
        <f>E25*1.15*5.0/1000</f>
        <v/>
      </c>
    </row>
    <row r="26">
      <c r="A26" s="4" t="n">
        <v>22</v>
      </c>
      <c r="B26" s="4" t="inlineStr">
        <is>
          <t>Propylene</t>
        </is>
      </c>
      <c r="C26" s="4" t="inlineStr">
        <is>
          <t>S-Oil</t>
        </is>
      </c>
      <c r="D26" s="4" t="inlineStr">
        <is>
          <t>Onsan</t>
        </is>
      </c>
      <c r="E26" s="4" t="n">
        <v>840</v>
      </c>
      <c r="F26" s="4" t="n">
        <v>2018</v>
      </c>
      <c r="G26" s="4">
        <f>E26*1.15*5.0/1000</f>
        <v/>
      </c>
    </row>
    <row r="27">
      <c r="A27" s="4" t="n">
        <v>23</v>
      </c>
      <c r="B27" s="4" t="inlineStr">
        <is>
          <t>Propylene</t>
        </is>
      </c>
      <c r="C27" s="4" t="inlineStr">
        <is>
          <t>SK Advanced</t>
        </is>
      </c>
      <c r="D27" s="4" t="inlineStr">
        <is>
          <t>Ulsan</t>
        </is>
      </c>
      <c r="E27" s="4" t="n">
        <v>600</v>
      </c>
      <c r="F27" s="4" t="n">
        <v>2016</v>
      </c>
      <c r="G27" s="4">
        <f>E27*1.15*5.0/1000</f>
        <v/>
      </c>
    </row>
    <row r="28">
      <c r="A28" s="4" t="n">
        <v>24</v>
      </c>
      <c r="B28" s="4" t="inlineStr">
        <is>
          <t>Propylene</t>
        </is>
      </c>
      <c r="C28" s="4" t="inlineStr">
        <is>
          <t>SK Energy</t>
        </is>
      </c>
      <c r="D28" s="4" t="inlineStr">
        <is>
          <t>Ulsan</t>
        </is>
      </c>
      <c r="E28" s="4" t="n">
        <v>620</v>
      </c>
      <c r="F28" s="4" t="n">
        <v>1996</v>
      </c>
      <c r="G28" s="4">
        <f>E28*1.15*5.0/1000</f>
        <v/>
      </c>
    </row>
    <row r="29">
      <c r="A29" s="4" t="n">
        <v>25</v>
      </c>
      <c r="B29" s="4" t="inlineStr">
        <is>
          <t>Propylene</t>
        </is>
      </c>
      <c r="C29" s="4" t="inlineStr">
        <is>
          <t>SK Geocentric</t>
        </is>
      </c>
      <c r="D29" s="4" t="inlineStr">
        <is>
          <t>Ulsan</t>
        </is>
      </c>
      <c r="E29" s="4" t="n">
        <v>380</v>
      </c>
      <c r="F29" s="4" t="n">
        <v>1989</v>
      </c>
      <c r="G29" s="4">
        <f>E29*1.15*5.0/1000</f>
        <v/>
      </c>
    </row>
    <row r="30">
      <c r="A30" s="4" t="n">
        <v>26</v>
      </c>
      <c r="B30" s="4" t="inlineStr">
        <is>
          <t>Propylene</t>
        </is>
      </c>
      <c r="C30" s="4" t="inlineStr">
        <is>
          <t>Taekwang Industrial</t>
        </is>
      </c>
      <c r="D30" s="4" t="inlineStr">
        <is>
          <t>Ulsan</t>
        </is>
      </c>
      <c r="E30" s="4" t="n">
        <v>300</v>
      </c>
      <c r="F30" s="4" t="n">
        <v>1997</v>
      </c>
      <c r="G30" s="4">
        <f>E30*1.15*5.0/1000</f>
        <v/>
      </c>
    </row>
    <row r="31">
      <c r="A31" s="4" t="n">
        <v>27</v>
      </c>
      <c r="B31" s="4" t="inlineStr">
        <is>
          <t>Propylene</t>
        </is>
      </c>
      <c r="C31" s="4" t="inlineStr">
        <is>
          <t>Hyosung Chemical</t>
        </is>
      </c>
      <c r="D31" s="4" t="inlineStr">
        <is>
          <t>Ulsan</t>
        </is>
      </c>
      <c r="E31" s="4" t="n">
        <v>500</v>
      </c>
      <c r="F31" s="4" t="n">
        <v>1991</v>
      </c>
      <c r="G31" s="4">
        <f>E31*1.15*5.0/1000</f>
        <v/>
      </c>
    </row>
    <row r="32">
      <c r="A32" s="4" t="n">
        <v>28</v>
      </c>
      <c r="B32" s="4" t="inlineStr">
        <is>
          <t>Butadiene</t>
        </is>
      </c>
      <c r="C32" s="4" t="inlineStr">
        <is>
          <t>Lotte Chemical</t>
        </is>
      </c>
      <c r="D32" s="4" t="inlineStr">
        <is>
          <t>Daesan</t>
        </is>
      </c>
      <c r="E32" s="4" t="n">
        <v>190</v>
      </c>
      <c r="F32" s="4" t="n">
        <v>1997</v>
      </c>
      <c r="G32" s="4">
        <f>E32*1.15*5.0/1000</f>
        <v/>
      </c>
    </row>
    <row r="33">
      <c r="A33" s="4" t="n">
        <v>29</v>
      </c>
      <c r="B33" s="4" t="inlineStr">
        <is>
          <t>Butadiene</t>
        </is>
      </c>
      <c r="C33" s="4" t="inlineStr">
        <is>
          <t>HD Hyundai Chemical</t>
        </is>
      </c>
      <c r="D33" s="4" t="inlineStr">
        <is>
          <t>Daesan</t>
        </is>
      </c>
      <c r="E33" s="4" t="n">
        <v>163</v>
      </c>
      <c r="F33" s="4" t="n">
        <v>2021</v>
      </c>
      <c r="G33" s="4">
        <f>E33*1.15*5.0/1000</f>
        <v/>
      </c>
    </row>
    <row r="34">
      <c r="A34" s="4" t="n">
        <v>30</v>
      </c>
      <c r="B34" s="4" t="inlineStr">
        <is>
          <t>Butadiene</t>
        </is>
      </c>
      <c r="C34" s="4" t="inlineStr">
        <is>
          <t>LG Chem</t>
        </is>
      </c>
      <c r="D34" s="4" t="inlineStr">
        <is>
          <t>Daesan</t>
        </is>
      </c>
      <c r="E34" s="4" t="n">
        <v>200</v>
      </c>
      <c r="F34" s="4" t="n">
        <v>1991</v>
      </c>
      <c r="G34" s="4">
        <f>E34*1.15*5.0/1000</f>
        <v/>
      </c>
    </row>
    <row r="35">
      <c r="A35" s="4" t="n">
        <v>31</v>
      </c>
      <c r="B35" s="4" t="inlineStr">
        <is>
          <t>Butadiene</t>
        </is>
      </c>
      <c r="C35" s="4" t="inlineStr">
        <is>
          <t>Hanwha TotalEnergies</t>
        </is>
      </c>
      <c r="D35" s="4" t="inlineStr">
        <is>
          <t>Daesan</t>
        </is>
      </c>
      <c r="E35" s="4" t="n">
        <v>150</v>
      </c>
      <c r="F35" s="4" t="n">
        <v>1991</v>
      </c>
      <c r="G35" s="4">
        <f>E35*1.15*5.0/1000</f>
        <v/>
      </c>
    </row>
    <row r="36">
      <c r="A36" s="4" t="n">
        <v>32</v>
      </c>
      <c r="B36" s="4" t="inlineStr">
        <is>
          <t>Butadiene</t>
        </is>
      </c>
      <c r="C36" s="4" t="inlineStr">
        <is>
          <t>Kumho Petrochemical</t>
        </is>
      </c>
      <c r="D36" s="4" t="inlineStr">
        <is>
          <t>Yeosu</t>
        </is>
      </c>
      <c r="E36" s="4" t="n">
        <v>147</v>
      </c>
      <c r="F36" s="4" t="n">
        <v>1992</v>
      </c>
      <c r="G36" s="4">
        <f>E36*1.15*5.0/1000</f>
        <v/>
      </c>
    </row>
    <row r="37">
      <c r="A37" s="4" t="n">
        <v>33</v>
      </c>
      <c r="B37" s="4" t="inlineStr">
        <is>
          <t>Butadiene</t>
        </is>
      </c>
      <c r="C37" s="4" t="inlineStr">
        <is>
          <t>Lotte GS Chemical</t>
        </is>
      </c>
      <c r="D37" s="4" t="inlineStr">
        <is>
          <t>Yeosu</t>
        </is>
      </c>
      <c r="E37" s="4" t="n">
        <v>130</v>
      </c>
      <c r="F37" s="4" t="n">
        <v>2022</v>
      </c>
      <c r="G37" s="4">
        <f>E37*1.15*5.0/1000</f>
        <v/>
      </c>
    </row>
    <row r="38">
      <c r="A38" s="4" t="n">
        <v>34</v>
      </c>
      <c r="B38" s="4" t="inlineStr">
        <is>
          <t>Butadiene</t>
        </is>
      </c>
      <c r="C38" s="4" t="inlineStr">
        <is>
          <t>Lotte Chemical</t>
        </is>
      </c>
      <c r="D38" s="4" t="inlineStr">
        <is>
          <t>Yeosu</t>
        </is>
      </c>
      <c r="E38" s="4" t="n">
        <v>160</v>
      </c>
      <c r="F38" s="4" t="n">
        <v>2011</v>
      </c>
      <c r="G38" s="4">
        <f>E38*1.15*5.0/1000</f>
        <v/>
      </c>
    </row>
    <row r="39">
      <c r="A39" s="4" t="n">
        <v>35</v>
      </c>
      <c r="B39" s="4" t="inlineStr">
        <is>
          <t>Butadiene</t>
        </is>
      </c>
      <c r="C39" s="4" t="inlineStr">
        <is>
          <t>LG Chem</t>
        </is>
      </c>
      <c r="D39" s="4" t="inlineStr">
        <is>
          <t>Yeosu</t>
        </is>
      </c>
      <c r="E39" s="4" t="n">
        <v>306</v>
      </c>
      <c r="F39" s="4" t="n">
        <v>1991</v>
      </c>
      <c r="G39" s="4">
        <f>E39*1.15*5.0/1000</f>
        <v/>
      </c>
    </row>
    <row r="40">
      <c r="A40" s="4" t="n">
        <v>36</v>
      </c>
      <c r="B40" s="4" t="inlineStr">
        <is>
          <t>Butadiene</t>
        </is>
      </c>
      <c r="C40" s="4" t="inlineStr">
        <is>
          <t>Yeochon NCC</t>
        </is>
      </c>
      <c r="D40" s="4" t="inlineStr">
        <is>
          <t>Yeosu</t>
        </is>
      </c>
      <c r="E40" s="4" t="n">
        <v>378</v>
      </c>
      <c r="F40" s="4" t="n">
        <v>1992</v>
      </c>
      <c r="G40" s="4">
        <f>E40*1.15*5.0/1000</f>
        <v/>
      </c>
    </row>
    <row r="41">
      <c r="A41" s="4" t="n">
        <v>37</v>
      </c>
      <c r="B41" s="4" t="inlineStr">
        <is>
          <t>Butadiene</t>
        </is>
      </c>
      <c r="C41" s="4" t="inlineStr">
        <is>
          <t>Kumho Petrochemical</t>
        </is>
      </c>
      <c r="D41" s="4" t="inlineStr">
        <is>
          <t>Ulsan</t>
        </is>
      </c>
      <c r="E41" s="4" t="n">
        <v>90</v>
      </c>
      <c r="F41" s="4" t="n">
        <v>1979</v>
      </c>
      <c r="G41" s="4">
        <f>E41*1.15*5.0/1000</f>
        <v/>
      </c>
    </row>
    <row r="42">
      <c r="A42" s="4" t="n">
        <v>38</v>
      </c>
      <c r="B42" s="4" t="inlineStr">
        <is>
          <t>Butadiene</t>
        </is>
      </c>
      <c r="C42" s="4" t="inlineStr">
        <is>
          <t>Daehan Oil Chemical</t>
        </is>
      </c>
      <c r="D42" s="4" t="inlineStr">
        <is>
          <t>Ulsan</t>
        </is>
      </c>
      <c r="E42" s="4" t="n">
        <v>146</v>
      </c>
      <c r="F42" s="4" t="n">
        <v>2023</v>
      </c>
      <c r="G42" s="4">
        <f>E42*1.15*5.0/1000</f>
        <v/>
      </c>
    </row>
    <row r="43">
      <c r="A43" s="4" t="n">
        <v>39</v>
      </c>
      <c r="B43" s="4" t="inlineStr">
        <is>
          <t>Butadiene</t>
        </is>
      </c>
      <c r="C43" s="4" t="inlineStr">
        <is>
          <t>SK Geocentric</t>
        </is>
      </c>
      <c r="D43" s="4" t="inlineStr">
        <is>
          <t>Ulsan</t>
        </is>
      </c>
      <c r="E43" s="4" t="n">
        <v>130</v>
      </c>
      <c r="F43" s="4" t="n">
        <v>1989</v>
      </c>
      <c r="G43" s="4">
        <f>E43*1.15*5.0/1000</f>
        <v/>
      </c>
    </row>
    <row r="44">
      <c r="A44" s="4" t="n">
        <v>40</v>
      </c>
      <c r="B44" s="4" t="inlineStr">
        <is>
          <t>C-H</t>
        </is>
      </c>
      <c r="C44" s="4" t="inlineStr">
        <is>
          <t>SK Geocentric</t>
        </is>
      </c>
      <c r="D44" s="4" t="inlineStr">
        <is>
          <t>Ulsan</t>
        </is>
      </c>
      <c r="E44" s="4" t="n">
        <v>160</v>
      </c>
      <c r="F44" s="4" t="n">
        <v>1974</v>
      </c>
      <c r="G44" s="4">
        <f>E44*1.15*5.0/1000</f>
        <v/>
      </c>
    </row>
    <row r="45">
      <c r="A45" s="4" t="n">
        <v>41</v>
      </c>
      <c r="B45" s="4" t="inlineStr">
        <is>
          <t>C-H</t>
        </is>
      </c>
      <c r="C45" s="4" t="inlineStr">
        <is>
          <t>Caprolactam</t>
        </is>
      </c>
      <c r="D45" s="4" t="inlineStr">
        <is>
          <t>Ulsan</t>
        </is>
      </c>
      <c r="E45" s="4" t="n">
        <v>190</v>
      </c>
      <c r="F45" s="4" t="n">
        <v>2000</v>
      </c>
      <c r="G45" s="4">
        <f>E45*1.15*5.0/1000</f>
        <v/>
      </c>
    </row>
    <row r="46">
      <c r="A46" s="5" t="inlineStr">
        <is>
          <t>TOTAL</t>
        </is>
      </c>
      <c r="B46" s="5" t="n"/>
      <c r="C46" s="5" t="n"/>
      <c r="D46" s="5" t="n"/>
      <c r="E46" s="5">
        <f>SUM(E5:E45)</f>
        <v/>
      </c>
      <c r="F46" s="5" t="n"/>
      <c r="G46" s="5">
        <f>SUM(G5:G45)</f>
        <v/>
      </c>
    </row>
    <row r="48">
      <c r="A48" t="inlineStr">
        <is>
          <t>* NCC-Electricity = Capacity × 1.15 × 5.0 MWh/ton / 1000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35" customWidth="1" min="3" max="3"/>
    <col width="15" customWidth="1" min="4" max="4"/>
  </cols>
  <sheetData>
    <row r="1">
      <c r="A1" s="1" t="inlineStr">
        <is>
          <t>Correction Summary: Excel vs Streamlit</t>
        </is>
      </c>
    </row>
    <row r="3">
      <c r="A3" s="2" t="inlineStr">
        <is>
          <t>ISSUE IDENTIFIED:</t>
        </is>
      </c>
    </row>
    <row r="4">
      <c r="A4" t="inlineStr">
        <is>
          <t>Previous Excel only calculated Ethylene NCC-Electricity (68.8 TWh)</t>
        </is>
      </c>
    </row>
    <row r="5">
      <c r="A5" t="inlineStr">
        <is>
          <t>Streamlit calculates ALL Naphtha Cracker products (147.6 TWh NCC + ~30 TWh Grid→RE)</t>
        </is>
      </c>
    </row>
    <row r="7">
      <c r="A7" s="2" t="inlineStr">
        <is>
          <t>CORRECTED CALCULATION:</t>
        </is>
      </c>
    </row>
    <row r="8">
      <c r="A8" s="3" t="inlineStr">
        <is>
          <t>Metric</t>
        </is>
      </c>
      <c r="B8" s="3" t="inlineStr">
        <is>
          <t>Previous Excel</t>
        </is>
      </c>
      <c r="C8" s="3" t="inlineStr">
        <is>
          <t>Corrected</t>
        </is>
      </c>
      <c r="D8" s="3" t="inlineStr">
        <is>
          <t>Streamlit</t>
        </is>
      </c>
    </row>
    <row r="9">
      <c r="A9" s="4" t="inlineStr">
        <is>
          <t>NCC Products Included</t>
        </is>
      </c>
      <c r="B9" s="4" t="inlineStr">
        <is>
          <t>Ethylene only</t>
        </is>
      </c>
      <c r="C9" s="4" t="inlineStr">
        <is>
          <t>All NCC (Ethylene, Propylene, Butadiene)</t>
        </is>
      </c>
      <c r="D9" s="4" t="inlineStr">
        <is>
          <t>All NCC</t>
        </is>
      </c>
    </row>
    <row r="10">
      <c r="A10" s="4" t="inlineStr">
        <is>
          <t>NCC Capacity (kt)</t>
        </is>
      </c>
      <c r="B10" s="4" t="inlineStr">
        <is>
          <t>11,962</t>
        </is>
      </c>
      <c r="C10" s="4" t="inlineStr">
        <is>
          <t>25,667</t>
        </is>
      </c>
      <c r="D10" s="4" t="inlineStr">
        <is>
          <t>25,667</t>
        </is>
      </c>
    </row>
    <row r="11">
      <c r="A11" s="4" t="inlineStr">
        <is>
          <t>Shaheen 2050 (kt)</t>
        </is>
      </c>
      <c r="B11" s="4" t="inlineStr">
        <is>
          <t>13,756</t>
        </is>
      </c>
      <c r="C11" s="4" t="inlineStr">
        <is>
          <t>29,517</t>
        </is>
      </c>
      <c r="D11" s="4" t="inlineStr">
        <is>
          <t>29,517</t>
        </is>
      </c>
    </row>
    <row r="12">
      <c r="A12" s="4" t="inlineStr">
        <is>
          <t>NCC-Electricity (TWh)</t>
        </is>
      </c>
      <c r="B12" s="4" t="inlineStr">
        <is>
          <t>68.8</t>
        </is>
      </c>
      <c r="C12" s="4" t="inlineStr">
        <is>
          <t>147.6</t>
        </is>
      </c>
      <c r="D12" s="4" t="inlineStr">
        <is>
          <t>~148</t>
        </is>
      </c>
    </row>
    <row r="13">
      <c r="A13" s="4" t="inlineStr">
        <is>
          <t>Grid→RE (TWh)</t>
        </is>
      </c>
      <c r="B13" s="4" t="inlineStr">
        <is>
          <t>Not included</t>
        </is>
      </c>
      <c r="C13" s="4" t="inlineStr">
        <is>
          <t>~30</t>
        </is>
      </c>
      <c r="D13" s="4" t="inlineStr">
        <is>
          <t>~30</t>
        </is>
      </c>
    </row>
    <row r="14">
      <c r="A14" s="4" t="inlineStr">
        <is>
          <t>Total RE (TWh)</t>
        </is>
      </c>
      <c r="B14" s="4" t="inlineStr">
        <is>
          <t>68.8</t>
        </is>
      </c>
      <c r="C14" s="4" t="inlineStr">
        <is>
          <t>~180</t>
        </is>
      </c>
      <c r="D14" s="4" t="inlineStr">
        <is>
          <t>~182</t>
        </is>
      </c>
    </row>
    <row r="17">
      <c r="A17" s="2" t="inlineStr">
        <is>
          <t>KEY INSIGHT:</t>
        </is>
      </c>
    </row>
    <row r="18">
      <c r="A18" t="inlineStr">
        <is>
          <t>H2 calculation uses ETHYLENE ONLY (7,703.5 kt = 11,962 × 1.15 × 0.56)</t>
        </is>
      </c>
    </row>
    <row r="19">
      <c r="A19" t="inlineStr">
        <is>
          <t>Electricity calculation uses ALL NCC PRODUCTS (147.6 TWh = 25,667 × 1.15 × 5.0 / 1000)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2025-11-27T07:07:26Z</dcterms:created>
  <dcterms:modified xmlns:dcterms="http://purl.org/dc/terms/" xmlns:xsi="http://www.w3.org/2001/XMLSchema-instance" xsi:type="dcterms:W3CDTF">2025-11-27T07:07:26Z</dcterms:modified>
</cp:coreProperties>
</file>