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supark/jinsu-coding/petrochemical_macc_2025/"/>
    </mc:Choice>
  </mc:AlternateContent>
  <xr:revisionPtr revIDLastSave="0" documentId="13_ncr:1_{1455F373-2B5A-8143-99C0-4593C8243B2A}" xr6:coauthVersionLast="47" xr6:coauthVersionMax="47" xr10:uidLastSave="{00000000-0000-0000-0000-000000000000}"/>
  <bookViews>
    <workbookView xWindow="0" yWindow="740" windowWidth="29400" windowHeight="17180" activeTab="1" xr2:uid="{2ACB2DDE-8F24-AB4B-9986-83C4833858B0}"/>
  </bookViews>
  <sheets>
    <sheet name="fuel_price" sheetId="1" r:id="rId1"/>
    <sheet name="tech_co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3" i="1" s="1"/>
  <c r="AA11" i="1"/>
  <c r="AA2" i="1" s="1"/>
  <c r="Z11" i="1"/>
  <c r="Z2" i="1" s="1"/>
  <c r="Y11" i="1"/>
  <c r="Y2" i="1" s="1"/>
  <c r="X11" i="1"/>
  <c r="X2" i="1" s="1"/>
  <c r="W11" i="1"/>
  <c r="W2" i="1" s="1"/>
  <c r="V11" i="1"/>
  <c r="V2" i="1" s="1"/>
  <c r="U11" i="1"/>
  <c r="U2" i="1" s="1"/>
  <c r="T11" i="1"/>
  <c r="T2" i="1" s="1"/>
  <c r="S11" i="1"/>
  <c r="S2" i="1" s="1"/>
  <c r="R11" i="1"/>
  <c r="R2" i="1" s="1"/>
  <c r="Q11" i="1"/>
  <c r="Q2" i="1" s="1"/>
  <c r="P11" i="1"/>
  <c r="P2" i="1" s="1"/>
  <c r="O11" i="1"/>
  <c r="O2" i="1" s="1"/>
  <c r="N11" i="1"/>
  <c r="N2" i="1" s="1"/>
  <c r="M11" i="1"/>
  <c r="M2" i="1" s="1"/>
  <c r="L11" i="1"/>
  <c r="L2" i="1" s="1"/>
  <c r="K11" i="1"/>
  <c r="K2" i="1" s="1"/>
  <c r="J11" i="1"/>
  <c r="J2" i="1" s="1"/>
  <c r="I11" i="1"/>
  <c r="I2" i="1" s="1"/>
  <c r="H11" i="1"/>
  <c r="H2" i="1" s="1"/>
  <c r="G11" i="1"/>
  <c r="G2" i="1" s="1"/>
  <c r="F11" i="1"/>
  <c r="F2" i="1" s="1"/>
  <c r="E11" i="1"/>
  <c r="E2" i="1" s="1"/>
  <c r="D11" i="1"/>
  <c r="D2" i="1" s="1"/>
  <c r="C11" i="1"/>
  <c r="C2" i="1" s="1"/>
  <c r="B11" i="1"/>
  <c r="B2" i="1" s="1"/>
  <c r="C7" i="1"/>
  <c r="D7" i="1" l="1"/>
  <c r="C12" i="1"/>
  <c r="C3" i="1" s="1"/>
  <c r="D12" i="1" l="1"/>
  <c r="D3" i="1" s="1"/>
  <c r="E7" i="1"/>
  <c r="E12" i="1" l="1"/>
  <c r="E3" i="1" s="1"/>
  <c r="F7" i="1"/>
  <c r="F12" i="1" l="1"/>
  <c r="F3" i="1" s="1"/>
  <c r="G7" i="1"/>
  <c r="G12" i="1" l="1"/>
  <c r="G3" i="1" s="1"/>
  <c r="H7" i="1"/>
  <c r="H12" i="1" l="1"/>
  <c r="H3" i="1" s="1"/>
  <c r="I7" i="1"/>
  <c r="I12" i="1" l="1"/>
  <c r="I3" i="1" s="1"/>
  <c r="J7" i="1"/>
  <c r="J12" i="1" l="1"/>
  <c r="J3" i="1" s="1"/>
  <c r="K7" i="1"/>
  <c r="K12" i="1" l="1"/>
  <c r="K3" i="1" s="1"/>
  <c r="L7" i="1"/>
  <c r="L12" i="1" l="1"/>
  <c r="L3" i="1" s="1"/>
  <c r="M7" i="1"/>
  <c r="M12" i="1" l="1"/>
  <c r="M3" i="1" s="1"/>
  <c r="N7" i="1"/>
  <c r="N12" i="1" l="1"/>
  <c r="N3" i="1" s="1"/>
  <c r="O7" i="1"/>
  <c r="O12" i="1" l="1"/>
  <c r="O3" i="1" s="1"/>
  <c r="P7" i="1"/>
  <c r="P12" i="1" l="1"/>
  <c r="P3" i="1" s="1"/>
  <c r="Q7" i="1"/>
  <c r="Q12" i="1" l="1"/>
  <c r="Q3" i="1" s="1"/>
  <c r="R7" i="1"/>
  <c r="R12" i="1" l="1"/>
  <c r="R3" i="1" s="1"/>
  <c r="S7" i="1"/>
  <c r="S12" i="1" l="1"/>
  <c r="S3" i="1" s="1"/>
  <c r="T7" i="1"/>
  <c r="T12" i="1" l="1"/>
  <c r="T3" i="1" s="1"/>
  <c r="U7" i="1"/>
  <c r="U12" i="1" l="1"/>
  <c r="U3" i="1" s="1"/>
  <c r="V7" i="1"/>
  <c r="V12" i="1" l="1"/>
  <c r="V3" i="1" s="1"/>
  <c r="W7" i="1"/>
  <c r="W12" i="1" l="1"/>
  <c r="W3" i="1" s="1"/>
  <c r="X7" i="1"/>
  <c r="X12" i="1" l="1"/>
  <c r="X3" i="1" s="1"/>
  <c r="Y7" i="1"/>
  <c r="Z7" i="1" l="1"/>
  <c r="Y12" i="1"/>
  <c r="Y3" i="1" s="1"/>
  <c r="AA7" i="1" l="1"/>
  <c r="AA12" i="1" s="1"/>
  <c r="AA3" i="1" s="1"/>
  <c r="Z12" i="1"/>
  <c r="Z3" i="1" s="1"/>
</calcChain>
</file>

<file path=xl/sharedStrings.xml><?xml version="1.0" encoding="utf-8"?>
<sst xmlns="http://schemas.openxmlformats.org/spreadsheetml/2006/main" count="86" uniqueCount="66">
  <si>
    <t>Hydrogen_H2</t>
  </si>
  <si>
    <t>Electricity_H2</t>
  </si>
  <si>
    <t>Hydrogen (USD/kg)</t>
  </si>
  <si>
    <t>Electricity (USD/MWh)</t>
  </si>
  <si>
    <t>출처 (논문/보고서)</t>
  </si>
  <si>
    <t>저자</t>
  </si>
  <si>
    <t>연도</t>
  </si>
  <si>
    <t>적용 공정 조건 / 주석</t>
  </si>
  <si>
    <t>P. Coenen</t>
  </si>
  <si>
    <t>산업 시각의 추정치: 연산 100만 톤/년 규모 전기 크래커에 약 7 TWh/년 전력이 필요green-alliance.org.uk (즉 톤당 약 7 MWh). 특별한 효율 개선 미적용 가정.</t>
  </si>
  <si>
    <t>S. Kwon, S.-K. Im</t>
  </si>
  <si>
    <t>-</t>
  </si>
  <si>
    <t>상업 규모 시범 플랜트: 전기히터 6 MW 투입으로 시간당 나프타 ~4톤 처리basf.com. 에틸렌 수율 (~30%) 가정 시 톤당 전력소비 약 5 MWh 수준.</t>
  </si>
  <si>
    <t>H₂ Consumption</t>
  </si>
  <si>
    <t>T. Ren, M. Patel, K. Blok</t>
  </si>
  <si>
    <t>Lummus Tech. &amp; John Zink team</t>
  </si>
  <si>
    <t>ExxonMobil (D. Holton et al.)</t>
  </si>
  <si>
    <t>CAPEX (USD/t-C2H4/yr)</t>
  </si>
  <si>
    <t>Gu J., Kim H., Lim H.</t>
  </si>
  <si>
    <t>(Rob West 등)</t>
  </si>
  <si>
    <t>Kwon S., Im S.-K.</t>
  </si>
  <si>
    <t>7.2–8.6 (범위)</t>
  </si>
  <si>
    <t>8.1 (≈29.1 GJ/ton)</t>
  </si>
  <si>
    <t>~4.2 (≈15 GJ/ton)</t>
  </si>
  <si>
    <t>BASF/SABIC/Linde 전기 가열 크래커 시범설비 (보도자료)</t>
  </si>
  <si>
    <t>~5 (추정치)</t>
  </si>
  <si>
    <t>26–31 GJ/ton ethylene (≈218–260 kg H₂/ton)</t>
  </si>
  <si>
    <t>Baytown 100% H₂ Furnace Demo (ExxonMobil Olefins Plant) </t>
  </si>
  <si>
    <t>High – ~30 GJ/ton ethylene (≈250 kg H₂/ton, energy-equivalent)</t>
  </si>
  <si>
    <t>≈$2,200/t-C₂H₄/yr</t>
  </si>
  <si>
    <t>소규모 실증급 전기 나프타분해로 기준. 약 10 MWth 파일럿 (연간 ≈15 kt C₂H₄ 생산 규모)에서 CAPEX ≈30 백만 €(2021)로 평가 . 실증단계로 단위 생산능력당 투자비가 매우 높음.</t>
  </si>
  <si>
    <t>≈$1,500/t-C₂H₄/yr</t>
  </si>
  <si>
    <t>세계 최대 규모 e-크래커 (약 1000 kt/yr C₂H₄) 기준 초기 CAPEX ≈1343 M€(2019)  (증기 크래커 대비 약 26% 높음). 향후 기술학습으로 2050년경 300–840 M€ 수준까지 감소 가능  (즉 약 $330–920/t-C₂H₄/yr 수준). 대형 상업 플랜트 전제로 경제성 개선 가정.</t>
  </si>
  <si>
    <t>≈$1,700/t-C₂H₄/yr</t>
  </si>
  <si>
    <t>≈$2,100/t-C₂H₄/yr</t>
  </si>
  <si>
    <t>수소 플라즈마 열분해 공정. 플라즈마 반응기 온도 3000–6000 K, 비산화 분위기에서 에틸렌 수율 50–60% 도달 . 반응기 장치의 투자비가 약 $2.1k/t-yr 수준으로 매우 높게 평가됨 (2020년 기준 설비비용 80 M$; 규모 지수 0.67 적용). 기존 공정보다 직접 배출은 제거되나, 높은 에너지 투자 및 초기설비비가 요구됨.</t>
  </si>
  <si>
    <t>MWh/ton C₂H₄</t>
  </si>
  <si>
    <t>Review of Electric Cracking of Hydrocarbons (ACS Sustainable Chem. Eng.)</t>
  </si>
  <si>
    <t>M.E.H. Tijani et al.</t>
  </si>
  <si>
    <t>Optimization of Electric Ethylene Production… (Ind. Eng. Chem. Res.)</t>
  </si>
  <si>
    <t>J.L. Tiggeloven et al.</t>
  </si>
  <si>
    <t>E-Crackers – Sustainability Developments… (ISPT 발표 자료)</t>
  </si>
  <si>
    <t>LCA &amp; TEA of Naphtha Cracking Electrification Using Plasma (Green Chem.)</t>
  </si>
  <si>
    <t>Olefins from Conventional and Heavy Feedstocks: Energy Use in Steam Cracking </t>
  </si>
  <si>
    <t>Hydrogen &amp; Ammonia: Zero-Carbon Fuels for Steam Crackers (Lummus–JZ case study) </t>
  </si>
  <si>
    <t>~200 kg H₂/ton ethylene (~22.5 t/h for 1,000 kt/yr plant)</t>
  </si>
  <si>
    <t>Not publicly reported (operated at ~98% H₂ fuel)</t>
  </si>
  <si>
    <t>Plasma Cracking of Naphtha (LCA/TEA study) </t>
  </si>
  <si>
    <t>Energy Conversion &amp; Management (전기 열분해 TEA 연구) </t>
  </si>
  <si>
    <t>Sustain. Energy Technol. Assess. (탈탄소 에틸렌 기술 비교) </t>
  </si>
  <si>
    <t>Toribio-Ramirez D.A. et al.</t>
  </si>
  <si>
    <t>Thunder Said Energy 산업분석 </t>
  </si>
  <si>
    <t>기존 나프타 분해로와 거의 동일. 연소 연료만 천연가스→수소로 전환하므로 추가 설비투자 최소 . 신규 건설 시 전통적 나프타 크래커와 유사한 CAPEX (~$1,600–1,750/t-yr) 로 추정됨. (그린수소 생산을 위한 전기분해 설비 등은 별도).</t>
  </si>
  <si>
    <t>Green Chemistry (플라즈마 나프타분해 LCA/TEA) </t>
  </si>
  <si>
    <t>기존 나프타 증기 분해 공정 기준치(≈30% 에틸렌 수율). 에틸렌 1톤당 대표적 가열로 연료 에너지량을 나타냄. 이 범위는 나프타 분해 장치의 산업 평균 특정 에너지 소비량(SEC)으로, 수소로 전체 열 수요를 충당할 경우 C₂H₄ 1톤당 약 220~260kg의 H₂가 필요함을 시사함.</t>
  </si>
  <si>
    <t>수소 연료 나프타 분해로 시나리오. 연간 20만 톤 규모의 나프타 분해로(SRT-VII 용로) 분석 결과, 100% 수소 연료(탄소 제로 열원)로 전환하려면 시간당 약 4,500kg의 수소(H₂)를 수입해야 함(연간 100만 톤 에틸렌 플랜트의 경우 시간당 약 22.5톤으로 추산). 이를 통해 가열로 배출 CO₂를 약 100% 감축할 수 있다. 분해 과정에서 발생하는 부산물 수소(H₂)가 연료 일부를 공급하며, 추가적인 친환경 수소(H₂)를 수입하여 C₂H₄ 1톤당 약 200kg의 총 연료 요구량을 충족시킨다.</t>
  </si>
  <si>
    <t>상업적 규모 시범 운영 – 에틸렌 가열로 내 44개 버너를 개조하여 최대 100% 수소 연료로 가동 가능하게 함. 2024년 12월, 가마는 98% 수소(최대 가용량)로 시험 가동되었으며 에틸렌 생산량 감소 없이 가동되었습니다. 이를 통해 직접 CO₂ 배출량을 약 90% 감축했습니다. (정확한 수소 소비량은 공개되지 않았으나, 이 시범 운영은 대규모 나프타 분해 가마가 기존 연료와 유사한 성능으로 수소로 가열될 수 있음을 입증</t>
  </si>
  <si>
    <t>수소 플라즈마/전기 플라즈마 공정 – 비산화 환경에서 초고온 플라즈마(3000–6000 K)를 이용해 나프타를 분해합니다. 기존 분해 공정 대비 직접 CO₂ 배출 없이 더 높은 에틸렌 수율(50~60% vs 약 30%)을 달성합니다. 그러나 이 공정은 에너지 집약적이며, 플라즈마 유지에 에틸렌 1톤당 수십 GJ(전기 공급 시 약 30 GJ/톤 추정)의 에너지가 필요합니다. 수소를 에너지원으로 사용할 경우 이는 에틸렌 1톤당 약 250kg의 H₂에 해당합니다. 높은 에너지 투입에도 불구하고, 재생에너지로 구동될 경우 플라즈마 공정은 수명주기 온실가스 배출량을 기존 수준의 약 7.8~11.4%까지 절감할 수 있다.</t>
  </si>
  <si>
    <t>NCC-전기로</t>
  </si>
  <si>
    <t>구분</t>
  </si>
  <si>
    <t>NCC-수소</t>
  </si>
  <si>
    <t>범용 나프타 증기 크래킹의 에너지 수요 (가스 연소식, 전통공정 기준). 이 값은 산업계 통상의 범위로 제시됨.</t>
  </si>
  <si>
    <t>나프타 증기 크래킹을 전기로 가열로 완전 전기화한 경우의 총 에너지 소비 (열분해 + 제품 분리에 소요) 에틸렌 수율 ~30%.</t>
  </si>
  <si>
    <t>플라즈마 열분해 방식 전기 크래킹 사례. 작동온도 3000–6000 K, 에틸렌 수율 50–60% 달성. 기존 대비 에너지 소비 ~52% 감소로, 톤당 소비가 약 절반 수준으로 줄어듦.</t>
  </si>
  <si>
    <t>단위</t>
  </si>
  <si>
    <t>수치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</si>
</sst>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/>
    </xf>
    <xf numFmtId="41" fontId="0" fillId="0" borderId="0" xfId="1" applyFont="1" applyAlignment="1">
      <alignment vertical="center"/>
    </xf>
    <xf numFmtId="4" fontId="0" fillId="0" borderId="0" xfId="0" applyNumberFormat="1"/>
    <xf numFmtId="43" fontId="0" fillId="0" borderId="0" xfId="0" applyNumberFormat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0" fillId="0" borderId="1" xfId="0" applyBorder="1"/>
    <xf numFmtId="0" fontId="3" fillId="0" borderId="1" xfId="0" applyFont="1" applyBorder="1" applyAlignment="1">
      <alignment vertical="center"/>
    </xf>
    <xf numFmtId="43" fontId="0" fillId="0" borderId="1" xfId="0" applyNumberFormat="1" applyBorder="1"/>
    <xf numFmtId="0" fontId="0" fillId="0" borderId="0" xfId="0" applyAlignment="1">
      <alignment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2468-B869-4B40-A621-7908102C2EE5}">
  <dimension ref="A1:AA16"/>
  <sheetViews>
    <sheetView workbookViewId="0">
      <selection activeCell="E20" sqref="E20"/>
    </sheetView>
  </sheetViews>
  <sheetFormatPr baseColWidth="10" defaultRowHeight="16" x14ac:dyDescent="0.2"/>
  <cols>
    <col min="1" max="1" width="23.1640625" customWidth="1"/>
  </cols>
  <sheetData>
    <row r="1" spans="1:27" x14ac:dyDescent="0.2">
      <c r="A1" s="12"/>
      <c r="B1" s="12">
        <v>2025</v>
      </c>
      <c r="C1" s="12">
        <v>2026</v>
      </c>
      <c r="D1" s="12">
        <v>2027</v>
      </c>
      <c r="E1" s="12">
        <v>2028</v>
      </c>
      <c r="F1" s="12">
        <v>2029</v>
      </c>
      <c r="G1" s="12">
        <v>2030</v>
      </c>
      <c r="H1" s="12">
        <v>2031</v>
      </c>
      <c r="I1" s="12">
        <v>2032</v>
      </c>
      <c r="J1" s="12">
        <v>2033</v>
      </c>
      <c r="K1" s="12">
        <v>2034</v>
      </c>
      <c r="L1" s="12">
        <v>2035</v>
      </c>
      <c r="M1" s="12">
        <v>2036</v>
      </c>
      <c r="N1" s="12">
        <v>2037</v>
      </c>
      <c r="O1" s="12">
        <v>2038</v>
      </c>
      <c r="P1" s="12">
        <v>2039</v>
      </c>
      <c r="Q1" s="12">
        <v>2040</v>
      </c>
      <c r="R1" s="12">
        <v>2041</v>
      </c>
      <c r="S1" s="12">
        <v>2042</v>
      </c>
      <c r="T1" s="12">
        <v>2043</v>
      </c>
      <c r="U1" s="12">
        <v>2044</v>
      </c>
      <c r="V1" s="12">
        <v>2045</v>
      </c>
      <c r="W1" s="12">
        <v>2046</v>
      </c>
      <c r="X1" s="12">
        <v>2047</v>
      </c>
      <c r="Y1" s="12">
        <v>2048</v>
      </c>
      <c r="Z1" s="12">
        <v>2049</v>
      </c>
      <c r="AA1" s="12">
        <v>2050</v>
      </c>
    </row>
    <row r="2" spans="1:27" x14ac:dyDescent="0.2">
      <c r="A2" s="13" t="s">
        <v>2</v>
      </c>
      <c r="B2" s="14">
        <f t="shared" ref="B2:AA2" si="0">B11/$B$15</f>
        <v>6.7307511295180715</v>
      </c>
      <c r="C2" s="14">
        <f t="shared" si="0"/>
        <v>6.5602649568863685</v>
      </c>
      <c r="D2" s="14">
        <f t="shared" si="0"/>
        <v>6.3897787842546654</v>
      </c>
      <c r="E2" s="14">
        <f t="shared" si="0"/>
        <v>6.2192926116229623</v>
      </c>
      <c r="F2" s="14">
        <f t="shared" si="0"/>
        <v>6.0488055161823757</v>
      </c>
      <c r="G2" s="14">
        <f t="shared" si="0"/>
        <v>5.8783193435506735</v>
      </c>
      <c r="H2" s="14">
        <f t="shared" si="0"/>
        <v>5.7057319350933149</v>
      </c>
      <c r="I2" s="14">
        <f t="shared" si="0"/>
        <v>5.5331445266359554</v>
      </c>
      <c r="J2" s="14">
        <f t="shared" si="0"/>
        <v>5.3605571181785967</v>
      </c>
      <c r="K2" s="14">
        <f t="shared" si="0"/>
        <v>5.1879697097212381</v>
      </c>
      <c r="L2" s="14">
        <f t="shared" si="0"/>
        <v>5.0153823012638794</v>
      </c>
      <c r="M2" s="14">
        <f t="shared" si="0"/>
        <v>4.8448961286321754</v>
      </c>
      <c r="N2" s="14">
        <f t="shared" si="0"/>
        <v>4.6744099560004724</v>
      </c>
      <c r="O2" s="14">
        <f t="shared" si="0"/>
        <v>4.5039228605598867</v>
      </c>
      <c r="P2" s="14">
        <f t="shared" si="0"/>
        <v>4.3334366879281827</v>
      </c>
      <c r="Q2" s="14">
        <f t="shared" si="0"/>
        <v>4.1629505152964805</v>
      </c>
      <c r="R2" s="14">
        <f t="shared" si="0"/>
        <v>3.992464342664777</v>
      </c>
      <c r="S2" s="14">
        <f t="shared" si="0"/>
        <v>3.8219772472241904</v>
      </c>
      <c r="T2" s="14">
        <f t="shared" si="0"/>
        <v>3.6514910745924873</v>
      </c>
      <c r="U2" s="14">
        <f t="shared" si="0"/>
        <v>3.4810049019607838</v>
      </c>
      <c r="V2" s="14">
        <f t="shared" si="0"/>
        <v>3.3105178065201986</v>
      </c>
      <c r="W2" s="14">
        <f t="shared" si="0"/>
        <v>3.1736467930545715</v>
      </c>
      <c r="X2" s="14">
        <f t="shared" si="0"/>
        <v>3.036774856780061</v>
      </c>
      <c r="Y2" s="14">
        <f t="shared" si="0"/>
        <v>2.8999038433144344</v>
      </c>
      <c r="Z2" s="14">
        <f t="shared" si="0"/>
        <v>2.7630319070399247</v>
      </c>
      <c r="AA2" s="14">
        <f t="shared" si="0"/>
        <v>2.6261599707654146</v>
      </c>
    </row>
    <row r="3" spans="1:27" x14ac:dyDescent="0.2">
      <c r="A3" s="13" t="s">
        <v>3</v>
      </c>
      <c r="B3" s="14">
        <f t="shared" ref="B3:AA3" si="1">B12/$B$16</f>
        <v>129.28818444452443</v>
      </c>
      <c r="C3" s="14">
        <f t="shared" si="1"/>
        <v>134.45971182230542</v>
      </c>
      <c r="D3" s="14">
        <f t="shared" si="1"/>
        <v>139.83810029519762</v>
      </c>
      <c r="E3" s="14">
        <f t="shared" si="1"/>
        <v>145.43162430700554</v>
      </c>
      <c r="F3" s="14">
        <f t="shared" si="1"/>
        <v>151.24888927928578</v>
      </c>
      <c r="G3" s="14">
        <f t="shared" si="1"/>
        <v>157.29884485045719</v>
      </c>
      <c r="H3" s="14">
        <f t="shared" si="1"/>
        <v>163.59079864447548</v>
      </c>
      <c r="I3" s="14">
        <f t="shared" si="1"/>
        <v>170.13443059025451</v>
      </c>
      <c r="J3" s="14">
        <f t="shared" si="1"/>
        <v>176.93980781386472</v>
      </c>
      <c r="K3" s="14">
        <f t="shared" si="1"/>
        <v>184.01740012641926</v>
      </c>
      <c r="L3" s="14">
        <f t="shared" si="1"/>
        <v>191.37809613147607</v>
      </c>
      <c r="M3" s="14">
        <f t="shared" si="1"/>
        <v>191.37809613147607</v>
      </c>
      <c r="N3" s="14">
        <f t="shared" si="1"/>
        <v>191.37809613147607</v>
      </c>
      <c r="O3" s="14">
        <f t="shared" si="1"/>
        <v>191.37809613147607</v>
      </c>
      <c r="P3" s="14">
        <f t="shared" si="1"/>
        <v>191.37809613147607</v>
      </c>
      <c r="Q3" s="14">
        <f t="shared" si="1"/>
        <v>191.37809613147607</v>
      </c>
      <c r="R3" s="14">
        <f t="shared" si="1"/>
        <v>191.37809613147607</v>
      </c>
      <c r="S3" s="14">
        <f t="shared" si="1"/>
        <v>191.37809613147607</v>
      </c>
      <c r="T3" s="14">
        <f t="shared" si="1"/>
        <v>191.37809613147607</v>
      </c>
      <c r="U3" s="14">
        <f t="shared" si="1"/>
        <v>191.37809613147607</v>
      </c>
      <c r="V3" s="14">
        <f t="shared" si="1"/>
        <v>191.37809613147607</v>
      </c>
      <c r="W3" s="14">
        <f t="shared" si="1"/>
        <v>191.37809613147607</v>
      </c>
      <c r="X3" s="14">
        <f t="shared" si="1"/>
        <v>191.37809613147607</v>
      </c>
      <c r="Y3" s="14">
        <f t="shared" si="1"/>
        <v>191.37809613147607</v>
      </c>
      <c r="Z3" s="14">
        <f t="shared" si="1"/>
        <v>191.37809613147607</v>
      </c>
      <c r="AA3" s="14">
        <f t="shared" si="1"/>
        <v>191.37809613147607</v>
      </c>
    </row>
    <row r="6" spans="1:27" hidden="1" x14ac:dyDescent="0.2">
      <c r="A6" s="1" t="s">
        <v>0</v>
      </c>
      <c r="B6" s="2">
        <v>72937.649999999994</v>
      </c>
      <c r="C6" s="2">
        <v>71090.179999999993</v>
      </c>
      <c r="D6" s="2">
        <v>69242.710000000006</v>
      </c>
      <c r="E6" s="2">
        <v>67395.240000000005</v>
      </c>
      <c r="F6" s="2">
        <v>65547.759999999995</v>
      </c>
      <c r="G6" s="2">
        <v>63700.29</v>
      </c>
      <c r="H6" s="2">
        <v>61830.05</v>
      </c>
      <c r="I6" s="2">
        <v>59959.81</v>
      </c>
      <c r="J6" s="2">
        <v>58089.57</v>
      </c>
      <c r="K6" s="2">
        <v>56219.33</v>
      </c>
      <c r="L6" s="2">
        <v>54349.09</v>
      </c>
      <c r="M6" s="2">
        <v>52501.62</v>
      </c>
      <c r="N6" s="2">
        <v>50654.15</v>
      </c>
      <c r="O6" s="2">
        <v>48806.67</v>
      </c>
      <c r="P6" s="2">
        <v>46959.199999999997</v>
      </c>
      <c r="Q6" s="2">
        <v>45111.73</v>
      </c>
      <c r="R6" s="2">
        <v>43264.26</v>
      </c>
      <c r="S6" s="2">
        <v>41416.78</v>
      </c>
      <c r="T6" s="2">
        <v>39569.31</v>
      </c>
      <c r="U6" s="2">
        <v>37721.839999999997</v>
      </c>
      <c r="V6" s="2">
        <v>35874.36</v>
      </c>
      <c r="W6" s="2">
        <v>34391.160000000003</v>
      </c>
      <c r="X6" s="2">
        <v>32907.949999999997</v>
      </c>
      <c r="Y6" s="2">
        <v>31424.75</v>
      </c>
      <c r="Z6" s="2">
        <v>29941.54</v>
      </c>
      <c r="AA6" s="2">
        <v>28458.33</v>
      </c>
    </row>
    <row r="7" spans="1:27" hidden="1" x14ac:dyDescent="0.2">
      <c r="A7" s="1" t="s">
        <v>1</v>
      </c>
      <c r="B7" s="2">
        <v>46888.89</v>
      </c>
      <c r="C7" s="2">
        <f>B7*1.04</f>
        <v>48764.445599999999</v>
      </c>
      <c r="D7" s="2">
        <f t="shared" ref="D7:L7" si="2">C7*1.04</f>
        <v>50715.023423999999</v>
      </c>
      <c r="E7" s="2">
        <f t="shared" si="2"/>
        <v>52743.624360959999</v>
      </c>
      <c r="F7" s="2">
        <f t="shared" si="2"/>
        <v>54853.369335398398</v>
      </c>
      <c r="G7" s="2">
        <f t="shared" si="2"/>
        <v>57047.504108814333</v>
      </c>
      <c r="H7" s="2">
        <f t="shared" si="2"/>
        <v>59329.404273166911</v>
      </c>
      <c r="I7" s="2">
        <f t="shared" si="2"/>
        <v>61702.58044409359</v>
      </c>
      <c r="J7" s="2">
        <f t="shared" si="2"/>
        <v>64170.683661857336</v>
      </c>
      <c r="K7" s="2">
        <f t="shared" si="2"/>
        <v>66737.511008331625</v>
      </c>
      <c r="L7" s="2">
        <f t="shared" si="2"/>
        <v>69407.011448664896</v>
      </c>
      <c r="M7" s="2">
        <f>L7</f>
        <v>69407.011448664896</v>
      </c>
      <c r="N7" s="2">
        <f t="shared" ref="N7:AA7" si="3">M7</f>
        <v>69407.011448664896</v>
      </c>
      <c r="O7" s="2">
        <f t="shared" si="3"/>
        <v>69407.011448664896</v>
      </c>
      <c r="P7" s="2">
        <f t="shared" si="3"/>
        <v>69407.011448664896</v>
      </c>
      <c r="Q7" s="2">
        <f t="shared" si="3"/>
        <v>69407.011448664896</v>
      </c>
      <c r="R7" s="2">
        <f t="shared" si="3"/>
        <v>69407.011448664896</v>
      </c>
      <c r="S7" s="2">
        <f t="shared" si="3"/>
        <v>69407.011448664896</v>
      </c>
      <c r="T7" s="2">
        <f t="shared" si="3"/>
        <v>69407.011448664896</v>
      </c>
      <c r="U7" s="2">
        <f t="shared" si="3"/>
        <v>69407.011448664896</v>
      </c>
      <c r="V7" s="2">
        <f t="shared" si="3"/>
        <v>69407.011448664896</v>
      </c>
      <c r="W7" s="2">
        <f t="shared" si="3"/>
        <v>69407.011448664896</v>
      </c>
      <c r="X7" s="2">
        <f t="shared" si="3"/>
        <v>69407.011448664896</v>
      </c>
      <c r="Y7" s="2">
        <f t="shared" si="3"/>
        <v>69407.011448664896</v>
      </c>
      <c r="Z7" s="2">
        <f t="shared" si="3"/>
        <v>69407.011448664896</v>
      </c>
      <c r="AA7" s="2">
        <f t="shared" si="3"/>
        <v>69407.011448664896</v>
      </c>
    </row>
    <row r="8" spans="1:27" hidden="1" x14ac:dyDescent="0.2"/>
    <row r="9" spans="1:27" hidden="1" x14ac:dyDescent="0.2">
      <c r="B9" s="3">
        <v>1305.5999999999999</v>
      </c>
    </row>
    <row r="10" spans="1:27" hidden="1" x14ac:dyDescent="0.2"/>
    <row r="11" spans="1:27" hidden="1" x14ac:dyDescent="0.2">
      <c r="B11" s="4">
        <f t="shared" ref="B11:AA11" si="4">B6/$B$9</f>
        <v>55.865234375</v>
      </c>
      <c r="C11" s="4">
        <f t="shared" si="4"/>
        <v>54.450199142156862</v>
      </c>
      <c r="D11" s="4">
        <f t="shared" si="4"/>
        <v>53.035163909313731</v>
      </c>
      <c r="E11" s="4">
        <f t="shared" si="4"/>
        <v>51.620128676470593</v>
      </c>
      <c r="F11" s="4">
        <f t="shared" si="4"/>
        <v>50.205085784313724</v>
      </c>
      <c r="G11" s="4">
        <f t="shared" si="4"/>
        <v>48.790050551470593</v>
      </c>
      <c r="H11" s="4">
        <f t="shared" si="4"/>
        <v>47.357575061274517</v>
      </c>
      <c r="I11" s="4">
        <f t="shared" si="4"/>
        <v>45.925099571078434</v>
      </c>
      <c r="J11" s="4">
        <f t="shared" si="4"/>
        <v>44.492624080882358</v>
      </c>
      <c r="K11" s="4">
        <f t="shared" si="4"/>
        <v>43.060148590686282</v>
      </c>
      <c r="L11" s="4">
        <f t="shared" si="4"/>
        <v>41.627673100490199</v>
      </c>
      <c r="M11" s="4">
        <f t="shared" si="4"/>
        <v>40.212637867647061</v>
      </c>
      <c r="N11" s="4">
        <f t="shared" si="4"/>
        <v>38.797602634803923</v>
      </c>
      <c r="O11" s="4">
        <f t="shared" si="4"/>
        <v>37.382559742647061</v>
      </c>
      <c r="P11" s="4">
        <f t="shared" si="4"/>
        <v>35.967524509803923</v>
      </c>
      <c r="Q11" s="4">
        <f t="shared" si="4"/>
        <v>34.552489276960792</v>
      </c>
      <c r="R11" s="4">
        <f t="shared" si="4"/>
        <v>33.137454044117653</v>
      </c>
      <c r="S11" s="4">
        <f t="shared" si="4"/>
        <v>31.722411151960785</v>
      </c>
      <c r="T11" s="4">
        <f t="shared" si="4"/>
        <v>30.307375919117646</v>
      </c>
      <c r="U11" s="4">
        <f t="shared" si="4"/>
        <v>28.892340686274508</v>
      </c>
      <c r="V11" s="4">
        <f t="shared" si="4"/>
        <v>27.47729779411765</v>
      </c>
      <c r="W11" s="4">
        <f t="shared" si="4"/>
        <v>26.341268382352947</v>
      </c>
      <c r="X11" s="4">
        <f t="shared" si="4"/>
        <v>25.20523131127451</v>
      </c>
      <c r="Y11" s="4">
        <f t="shared" si="4"/>
        <v>24.069201899509807</v>
      </c>
      <c r="Z11" s="4">
        <f t="shared" si="4"/>
        <v>22.933164828431376</v>
      </c>
      <c r="AA11" s="4">
        <f t="shared" si="4"/>
        <v>21.797127757352943</v>
      </c>
    </row>
    <row r="12" spans="1:27" hidden="1" x14ac:dyDescent="0.2">
      <c r="B12" s="4">
        <f t="shared" ref="B12:AA12" si="5">B7/$B$9</f>
        <v>35.913671874999999</v>
      </c>
      <c r="C12" s="4">
        <f t="shared" si="5"/>
        <v>37.350218750000003</v>
      </c>
      <c r="D12" s="4">
        <f t="shared" si="5"/>
        <v>38.844227500000002</v>
      </c>
      <c r="E12" s="4">
        <f t="shared" si="5"/>
        <v>40.397996599999999</v>
      </c>
      <c r="F12" s="4">
        <f t="shared" si="5"/>
        <v>42.013916464000005</v>
      </c>
      <c r="G12" s="4">
        <f t="shared" si="5"/>
        <v>43.694473122559998</v>
      </c>
      <c r="H12" s="4">
        <f t="shared" si="5"/>
        <v>45.442252047462404</v>
      </c>
      <c r="I12" s="4">
        <f t="shared" si="5"/>
        <v>47.259942129360901</v>
      </c>
      <c r="J12" s="4">
        <f t="shared" si="5"/>
        <v>49.150339814535343</v>
      </c>
      <c r="K12" s="4">
        <f t="shared" si="5"/>
        <v>51.116353407116748</v>
      </c>
      <c r="L12" s="4">
        <f t="shared" si="5"/>
        <v>53.161007543401425</v>
      </c>
      <c r="M12" s="4">
        <f t="shared" si="5"/>
        <v>53.161007543401425</v>
      </c>
      <c r="N12" s="4">
        <f t="shared" si="5"/>
        <v>53.161007543401425</v>
      </c>
      <c r="O12" s="4">
        <f t="shared" si="5"/>
        <v>53.161007543401425</v>
      </c>
      <c r="P12" s="4">
        <f t="shared" si="5"/>
        <v>53.161007543401425</v>
      </c>
      <c r="Q12" s="4">
        <f t="shared" si="5"/>
        <v>53.161007543401425</v>
      </c>
      <c r="R12" s="4">
        <f t="shared" si="5"/>
        <v>53.161007543401425</v>
      </c>
      <c r="S12" s="4">
        <f t="shared" si="5"/>
        <v>53.161007543401425</v>
      </c>
      <c r="T12" s="4">
        <f t="shared" si="5"/>
        <v>53.161007543401425</v>
      </c>
      <c r="U12" s="4">
        <f t="shared" si="5"/>
        <v>53.161007543401425</v>
      </c>
      <c r="V12" s="4">
        <f t="shared" si="5"/>
        <v>53.161007543401425</v>
      </c>
      <c r="W12" s="4">
        <f t="shared" si="5"/>
        <v>53.161007543401425</v>
      </c>
      <c r="X12" s="4">
        <f t="shared" si="5"/>
        <v>53.161007543401425</v>
      </c>
      <c r="Y12" s="4">
        <f t="shared" si="5"/>
        <v>53.161007543401425</v>
      </c>
      <c r="Z12" s="4">
        <f t="shared" si="5"/>
        <v>53.161007543401425</v>
      </c>
      <c r="AA12" s="4">
        <f t="shared" si="5"/>
        <v>53.161007543401425</v>
      </c>
    </row>
    <row r="13" spans="1:27" hidden="1" x14ac:dyDescent="0.2"/>
    <row r="14" spans="1:27" hidden="1" x14ac:dyDescent="0.2"/>
    <row r="15" spans="1:27" hidden="1" x14ac:dyDescent="0.2">
      <c r="B15">
        <v>8.3000000000000007</v>
      </c>
    </row>
    <row r="16" spans="1:27" hidden="1" x14ac:dyDescent="0.2">
      <c r="B16" s="5">
        <v>0.27778000000000003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9C316-6658-734D-AD08-6F87853E88DE}">
  <dimension ref="A1:G14"/>
  <sheetViews>
    <sheetView tabSelected="1" workbookViewId="0">
      <selection activeCell="C10" sqref="C10"/>
    </sheetView>
  </sheetViews>
  <sheetFormatPr baseColWidth="10" defaultRowHeight="16" x14ac:dyDescent="0.2"/>
  <cols>
    <col min="1" max="1" width="29.5" style="6" customWidth="1"/>
    <col min="2" max="2" width="70.83203125" style="6" customWidth="1"/>
    <col min="3" max="3" width="25.83203125" style="6" customWidth="1"/>
    <col min="4" max="4" width="17" style="6" customWidth="1"/>
    <col min="5" max="5" width="35.6640625" style="6" customWidth="1"/>
    <col min="6" max="6" width="44.33203125" style="7" customWidth="1"/>
    <col min="7" max="7" width="128.5" style="8" customWidth="1"/>
    <col min="8" max="16384" width="10.83203125" style="6"/>
  </cols>
  <sheetData>
    <row r="1" spans="1:7" ht="17" x14ac:dyDescent="0.2">
      <c r="A1" s="9" t="s">
        <v>59</v>
      </c>
      <c r="B1" s="10" t="s">
        <v>4</v>
      </c>
      <c r="C1" s="10" t="s">
        <v>5</v>
      </c>
      <c r="D1" s="10" t="s">
        <v>6</v>
      </c>
      <c r="E1" s="10" t="s">
        <v>64</v>
      </c>
      <c r="F1" s="10" t="s">
        <v>65</v>
      </c>
      <c r="G1" s="11" t="s">
        <v>7</v>
      </c>
    </row>
    <row r="2" spans="1:7" ht="17" x14ac:dyDescent="0.2">
      <c r="A2" s="9" t="s">
        <v>58</v>
      </c>
      <c r="B2" s="10" t="s">
        <v>37</v>
      </c>
      <c r="C2" s="10" t="s">
        <v>38</v>
      </c>
      <c r="D2" s="10">
        <v>2022</v>
      </c>
      <c r="E2" s="10" t="s">
        <v>36</v>
      </c>
      <c r="F2" s="10" t="s">
        <v>21</v>
      </c>
      <c r="G2" s="15" t="s">
        <v>61</v>
      </c>
    </row>
    <row r="3" spans="1:7" ht="17" x14ac:dyDescent="0.2">
      <c r="A3" s="9" t="s">
        <v>58</v>
      </c>
      <c r="B3" s="10" t="s">
        <v>39</v>
      </c>
      <c r="C3" s="10" t="s">
        <v>40</v>
      </c>
      <c r="D3" s="10">
        <v>2023</v>
      </c>
      <c r="E3" s="10" t="s">
        <v>36</v>
      </c>
      <c r="F3" s="10" t="s">
        <v>22</v>
      </c>
      <c r="G3" s="15" t="s">
        <v>62</v>
      </c>
    </row>
    <row r="4" spans="1:7" ht="34" x14ac:dyDescent="0.2">
      <c r="A4" s="9" t="s">
        <v>58</v>
      </c>
      <c r="B4" s="10" t="s">
        <v>41</v>
      </c>
      <c r="C4" s="10" t="s">
        <v>8</v>
      </c>
      <c r="D4" s="10">
        <v>2021</v>
      </c>
      <c r="E4" s="10" t="s">
        <v>36</v>
      </c>
      <c r="F4" s="10">
        <v>7</v>
      </c>
      <c r="G4" s="15" t="s">
        <v>9</v>
      </c>
    </row>
    <row r="5" spans="1:7" ht="34" x14ac:dyDescent="0.2">
      <c r="A5" s="9" t="s">
        <v>58</v>
      </c>
      <c r="B5" s="10" t="s">
        <v>42</v>
      </c>
      <c r="C5" s="10" t="s">
        <v>10</v>
      </c>
      <c r="D5" s="10">
        <v>2025</v>
      </c>
      <c r="E5" s="10" t="s">
        <v>36</v>
      </c>
      <c r="F5" s="10" t="s">
        <v>23</v>
      </c>
      <c r="G5" s="15" t="s">
        <v>63</v>
      </c>
    </row>
    <row r="6" spans="1:7" ht="36" customHeight="1" x14ac:dyDescent="0.2">
      <c r="A6" s="9" t="s">
        <v>58</v>
      </c>
      <c r="B6" s="10" t="s">
        <v>24</v>
      </c>
      <c r="C6" s="10" t="s">
        <v>11</v>
      </c>
      <c r="D6" s="10">
        <v>2024</v>
      </c>
      <c r="E6" s="10" t="s">
        <v>36</v>
      </c>
      <c r="F6" s="10" t="s">
        <v>25</v>
      </c>
      <c r="G6" s="15" t="s">
        <v>12</v>
      </c>
    </row>
    <row r="7" spans="1:7" ht="34" x14ac:dyDescent="0.2">
      <c r="A7" s="9" t="s">
        <v>60</v>
      </c>
      <c r="B7" s="10" t="s">
        <v>43</v>
      </c>
      <c r="C7" s="10" t="s">
        <v>14</v>
      </c>
      <c r="D7" s="10">
        <v>2006</v>
      </c>
      <c r="E7" s="10" t="s">
        <v>13</v>
      </c>
      <c r="F7" s="10" t="s">
        <v>26</v>
      </c>
      <c r="G7" s="11" t="s">
        <v>54</v>
      </c>
    </row>
    <row r="8" spans="1:7" ht="68" x14ac:dyDescent="0.2">
      <c r="A8" s="9" t="s">
        <v>60</v>
      </c>
      <c r="B8" s="10" t="s">
        <v>44</v>
      </c>
      <c r="C8" s="10" t="s">
        <v>15</v>
      </c>
      <c r="D8" s="10">
        <v>2023</v>
      </c>
      <c r="E8" s="10" t="s">
        <v>13</v>
      </c>
      <c r="F8" s="10" t="s">
        <v>45</v>
      </c>
      <c r="G8" s="11" t="s">
        <v>55</v>
      </c>
    </row>
    <row r="9" spans="1:7" ht="51" x14ac:dyDescent="0.2">
      <c r="A9" s="9" t="s">
        <v>60</v>
      </c>
      <c r="B9" s="10" t="s">
        <v>27</v>
      </c>
      <c r="C9" s="10" t="s">
        <v>16</v>
      </c>
      <c r="D9" s="10">
        <v>2025</v>
      </c>
      <c r="E9" s="10" t="s">
        <v>13</v>
      </c>
      <c r="F9" s="10" t="s">
        <v>46</v>
      </c>
      <c r="G9" s="11" t="s">
        <v>56</v>
      </c>
    </row>
    <row r="10" spans="1:7" ht="85" x14ac:dyDescent="0.2">
      <c r="A10" s="9" t="s">
        <v>60</v>
      </c>
      <c r="B10" s="10" t="s">
        <v>47</v>
      </c>
      <c r="C10" s="10" t="s">
        <v>10</v>
      </c>
      <c r="D10" s="10">
        <v>2025</v>
      </c>
      <c r="E10" s="10" t="s">
        <v>13</v>
      </c>
      <c r="F10" s="10" t="s">
        <v>28</v>
      </c>
      <c r="G10" s="11" t="s">
        <v>57</v>
      </c>
    </row>
    <row r="11" spans="1:7" ht="34" x14ac:dyDescent="0.2">
      <c r="A11" s="9" t="s">
        <v>58</v>
      </c>
      <c r="B11" s="10" t="s">
        <v>48</v>
      </c>
      <c r="C11" s="10" t="s">
        <v>18</v>
      </c>
      <c r="D11" s="10">
        <v>2022</v>
      </c>
      <c r="E11" s="10" t="s">
        <v>17</v>
      </c>
      <c r="F11" s="10" t="s">
        <v>29</v>
      </c>
      <c r="G11" s="11" t="s">
        <v>30</v>
      </c>
    </row>
    <row r="12" spans="1:7" ht="34" x14ac:dyDescent="0.2">
      <c r="A12" s="9" t="s">
        <v>58</v>
      </c>
      <c r="B12" s="10" t="s">
        <v>49</v>
      </c>
      <c r="C12" s="10" t="s">
        <v>50</v>
      </c>
      <c r="D12" s="10">
        <v>2025</v>
      </c>
      <c r="E12" s="10" t="s">
        <v>17</v>
      </c>
      <c r="F12" s="10" t="s">
        <v>31</v>
      </c>
      <c r="G12" s="11" t="s">
        <v>32</v>
      </c>
    </row>
    <row r="13" spans="1:7" ht="34" x14ac:dyDescent="0.2">
      <c r="A13" s="9"/>
      <c r="B13" s="10" t="s">
        <v>51</v>
      </c>
      <c r="C13" s="10" t="s">
        <v>19</v>
      </c>
      <c r="D13" s="10">
        <v>2023</v>
      </c>
      <c r="E13" s="10" t="s">
        <v>17</v>
      </c>
      <c r="F13" s="10" t="s">
        <v>33</v>
      </c>
      <c r="G13" s="11" t="s">
        <v>52</v>
      </c>
    </row>
    <row r="14" spans="1:7" ht="51" x14ac:dyDescent="0.2">
      <c r="A14" s="9"/>
      <c r="B14" s="10" t="s">
        <v>53</v>
      </c>
      <c r="C14" s="10" t="s">
        <v>20</v>
      </c>
      <c r="D14" s="10">
        <v>2025</v>
      </c>
      <c r="E14" s="10" t="s">
        <v>17</v>
      </c>
      <c r="F14" s="10" t="s">
        <v>34</v>
      </c>
      <c r="G14" s="11" t="s">
        <v>35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fuel_price</vt:lpstr>
      <vt:lpstr>tech_cost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Jinsu</dc:creator>
  <cp:lastModifiedBy>Jinsu</cp:lastModifiedBy>
  <dcterms:created xsi:type="dcterms:W3CDTF">2025-10-29T23:24:31Z</dcterms:created>
  <dcterms:modified xsi:type="dcterms:W3CDTF">2025-10-31T03:01:48Z</dcterms:modified>
</cp:coreProperties>
</file>