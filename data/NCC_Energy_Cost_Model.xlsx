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ameters" sheetId="1" state="visible" r:id="rId1"/>
    <sheet xmlns:r="http://schemas.openxmlformats.org/officeDocument/2006/relationships" name="2_Price_Trajectories" sheetId="2" state="visible" r:id="rId2"/>
    <sheet xmlns:r="http://schemas.openxmlformats.org/officeDocument/2006/relationships" name="3_Production_Scenarios" sheetId="3" state="visible" r:id="rId3"/>
    <sheet xmlns:r="http://schemas.openxmlformats.org/officeDocument/2006/relationships" name="4_H2_Demand_Cost" sheetId="4" state="visible" r:id="rId4"/>
    <sheet xmlns:r="http://schemas.openxmlformats.org/officeDocument/2006/relationships" name="5_Elec_Demand_Cost" sheetId="5" state="visible" r:id="rId5"/>
    <sheet xmlns:r="http://schemas.openxmlformats.org/officeDocument/2006/relationships" name="6_CAPEX_Analysis" sheetId="6" state="visible" r:id="rId6"/>
    <sheet xmlns:r="http://schemas.openxmlformats.org/officeDocument/2006/relationships" name="7_Regional_H2" sheetId="7" state="visible" r:id="rId7"/>
    <sheet xmlns:r="http://schemas.openxmlformats.org/officeDocument/2006/relationships" name="8_Regional_Elec" sheetId="8" state="visible" r:id="rId8"/>
    <sheet xmlns:r="http://schemas.openxmlformats.org/officeDocument/2006/relationships" name="9_NCC_Facilities" sheetId="9" state="visible" r:id="rId9"/>
    <sheet xmlns:r="http://schemas.openxmlformats.org/officeDocument/2006/relationships" name="10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5" customWidth="1" min="4" max="4"/>
  </cols>
  <sheetData>
    <row r="1">
      <c r="A1" s="1" t="inlineStr">
        <is>
          <t>NCC Energy Transition Model - Parameters</t>
        </is>
      </c>
      <c r="B1" s="1" t="inlineStr"/>
      <c r="C1" s="1" t="inlineStr"/>
      <c r="D1" s="1" t="inlineStr"/>
    </row>
    <row r="2">
      <c r="A2" s="1" t="inlineStr"/>
      <c r="B2" s="1" t="inlineStr"/>
      <c r="C2" s="1" t="inlineStr"/>
      <c r="D2" s="1" t="inlineStr"/>
    </row>
    <row r="3">
      <c r="A3" s="2">
        <f>== BASELINE CAPACITY (2025) ===</f>
        <v/>
      </c>
      <c r="B3" s="1" t="inlineStr"/>
      <c r="C3" s="1" t="inlineStr"/>
      <c r="D3" s="1" t="inlineStr"/>
    </row>
    <row r="4">
      <c r="A4" s="1" t="inlineStr">
        <is>
          <t>Total Ethylene Capacity</t>
        </is>
      </c>
      <c r="B4" s="3" t="n">
        <v>11962</v>
      </c>
      <c r="C4" s="1" t="inlineStr">
        <is>
          <t>kt/year</t>
        </is>
      </c>
      <c r="D4" s="1" t="inlineStr">
        <is>
          <t>11 facilities</t>
        </is>
      </c>
    </row>
    <row r="5">
      <c r="A5" s="1" t="inlineStr">
        <is>
          <t>Total NCC Capacity</t>
        </is>
      </c>
      <c r="B5" s="3" t="n">
        <v>25317</v>
      </c>
      <c r="C5" s="1" t="inlineStr">
        <is>
          <t>kt/year</t>
        </is>
      </c>
      <c r="D5" s="1" t="inlineStr">
        <is>
          <t>41 facilities</t>
        </is>
      </c>
    </row>
    <row r="6">
      <c r="A6" s="1" t="inlineStr"/>
      <c r="B6" s="1" t="inlineStr"/>
      <c r="C6" s="1" t="inlineStr"/>
      <c r="D6" s="1" t="inlineStr"/>
    </row>
    <row r="7">
      <c r="A7" s="2">
        <f>== NCC-H2 TECHNOLOGY PARAMETERS ===</f>
        <v/>
      </c>
      <c r="B7" s="1" t="inlineStr"/>
      <c r="C7" s="1" t="inlineStr"/>
      <c r="D7" s="1" t="inlineStr"/>
    </row>
    <row r="8">
      <c r="A8" s="1" t="inlineStr">
        <is>
          <t>H2 Intensity</t>
        </is>
      </c>
      <c r="B8" s="3" t="n">
        <v>0.5600000000000001</v>
      </c>
      <c r="C8" s="1" t="inlineStr">
        <is>
          <t>ton H2/ton C2H4</t>
        </is>
      </c>
      <c r="D8" s="1" t="inlineStr">
        <is>
          <t>Lummus Tech 2023</t>
        </is>
      </c>
    </row>
    <row r="9">
      <c r="A9" s="1" t="inlineStr">
        <is>
          <t>CAPEX 2025</t>
        </is>
      </c>
      <c r="B9" s="3" t="n">
        <v>1550</v>
      </c>
      <c r="C9" s="1" t="inlineStr">
        <is>
          <t>$/t-C2H4/yr</t>
        </is>
      </c>
      <c r="D9" s="1" t="inlineStr">
        <is>
          <t>Literature mean</t>
        </is>
      </c>
    </row>
    <row r="10">
      <c r="A10" s="1" t="inlineStr">
        <is>
          <t>CAPEX 2030</t>
        </is>
      </c>
      <c r="B10" s="3" t="n">
        <v>1300</v>
      </c>
      <c r="C10" s="1" t="inlineStr">
        <is>
          <t>$/t-C2H4/yr</t>
        </is>
      </c>
      <c r="D10" s="1" t="inlineStr"/>
    </row>
    <row r="11">
      <c r="A11" s="1" t="inlineStr">
        <is>
          <t>CAPEX 2040</t>
        </is>
      </c>
      <c r="B11" s="3" t="n">
        <v>935</v>
      </c>
      <c r="C11" s="1" t="inlineStr">
        <is>
          <t>$/t-C2H4/yr</t>
        </is>
      </c>
      <c r="D11" s="1" t="inlineStr"/>
    </row>
    <row r="12">
      <c r="A12" s="1" t="inlineStr">
        <is>
          <t>CAPEX 2050</t>
        </is>
      </c>
      <c r="B12" s="3" t="n">
        <v>780</v>
      </c>
      <c r="C12" s="1" t="inlineStr">
        <is>
          <t>$/t-C2H4/yr</t>
        </is>
      </c>
      <c r="D12" s="1" t="inlineStr"/>
    </row>
    <row r="13">
      <c r="A13" s="1" t="inlineStr">
        <is>
          <t>OPEX (% of CAPEX)</t>
        </is>
      </c>
      <c r="B13" s="3" t="n">
        <v>4</v>
      </c>
      <c r="C13" s="1" t="inlineStr">
        <is>
          <t>%</t>
        </is>
      </c>
      <c r="D13" s="1" t="inlineStr">
        <is>
          <t>Industry standard</t>
        </is>
      </c>
    </row>
    <row r="14">
      <c r="A14" s="1" t="inlineStr">
        <is>
          <t>Lifetime</t>
        </is>
      </c>
      <c r="B14" s="3" t="n">
        <v>25</v>
      </c>
      <c r="C14" s="1" t="inlineStr">
        <is>
          <t>years</t>
        </is>
      </c>
      <c r="D14" s="1" t="inlineStr"/>
    </row>
    <row r="15">
      <c r="A15" s="1" t="inlineStr"/>
      <c r="B15" s="1" t="inlineStr"/>
      <c r="C15" s="1" t="inlineStr"/>
      <c r="D15" s="1" t="inlineStr"/>
    </row>
    <row r="16">
      <c r="A16" s="2">
        <f>== NCC-ELECTRICITY TECHNOLOGY PARAMETERS ===</f>
        <v/>
      </c>
      <c r="B16" s="1" t="inlineStr"/>
      <c r="C16" s="1" t="inlineStr"/>
      <c r="D16" s="1" t="inlineStr"/>
    </row>
    <row r="17">
      <c r="A17" s="1" t="inlineStr">
        <is>
          <t>Elec Intensity</t>
        </is>
      </c>
      <c r="B17" s="3" t="n">
        <v>5</v>
      </c>
      <c r="C17" s="1" t="inlineStr">
        <is>
          <t>MWh/ton C2H4</t>
        </is>
      </c>
      <c r="D17" s="1" t="inlineStr">
        <is>
          <t>BASF/SABIC/Linde 2024</t>
        </is>
      </c>
    </row>
    <row r="18">
      <c r="A18" s="1" t="inlineStr">
        <is>
          <t>CAPEX 2025</t>
        </is>
      </c>
      <c r="B18" s="3" t="n">
        <v>1500</v>
      </c>
      <c r="C18" s="1" t="inlineStr">
        <is>
          <t>$/t-C2H4/yr</t>
        </is>
      </c>
      <c r="D18" s="1" t="inlineStr">
        <is>
          <t>Literature mean</t>
        </is>
      </c>
    </row>
    <row r="19">
      <c r="A19" s="1" t="inlineStr">
        <is>
          <t>CAPEX 2030</t>
        </is>
      </c>
      <c r="B19" s="3" t="n">
        <v>1350</v>
      </c>
      <c r="C19" s="1" t="inlineStr">
        <is>
          <t>$/t-C2H4/yr</t>
        </is>
      </c>
      <c r="D19" s="1" t="inlineStr"/>
    </row>
    <row r="20">
      <c r="A20" s="1" t="inlineStr">
        <is>
          <t>CAPEX 2040</t>
        </is>
      </c>
      <c r="B20" s="3" t="n">
        <v>1050</v>
      </c>
      <c r="C20" s="1" t="inlineStr">
        <is>
          <t>$/t-C2H4/yr</t>
        </is>
      </c>
      <c r="D20" s="1" t="inlineStr"/>
    </row>
    <row r="21">
      <c r="A21" s="1" t="inlineStr">
        <is>
          <t>CAPEX 2050</t>
        </is>
      </c>
      <c r="B21" s="3" t="n">
        <v>900</v>
      </c>
      <c r="C21" s="1" t="inlineStr">
        <is>
          <t>$/t-C2H4/yr</t>
        </is>
      </c>
      <c r="D21" s="1" t="inlineStr"/>
    </row>
    <row r="22">
      <c r="A22" s="1" t="inlineStr">
        <is>
          <t>OPEX (% of CAPEX)</t>
        </is>
      </c>
      <c r="B22" s="3" t="n">
        <v>4</v>
      </c>
      <c r="C22" s="1" t="inlineStr">
        <is>
          <t>%</t>
        </is>
      </c>
      <c r="D22" s="1" t="inlineStr">
        <is>
          <t>Industry standard</t>
        </is>
      </c>
    </row>
    <row r="23">
      <c r="A23" s="1" t="inlineStr">
        <is>
          <t>Lifetime</t>
        </is>
      </c>
      <c r="B23" s="3" t="n">
        <v>25</v>
      </c>
      <c r="C23" s="1" t="inlineStr">
        <is>
          <t>years</t>
        </is>
      </c>
      <c r="D23" s="1" t="inlineStr"/>
    </row>
    <row r="24">
      <c r="A24" s="1" t="inlineStr"/>
      <c r="B24" s="1" t="inlineStr"/>
      <c r="C24" s="1" t="inlineStr"/>
      <c r="D24" s="1" t="inlineStr"/>
    </row>
    <row r="25">
      <c r="A25" s="2">
        <f>== STREAMLIT 2050 BASELINE VALUES ===</f>
        <v/>
      </c>
      <c r="B25" s="1" t="inlineStr"/>
      <c r="C25" s="1" t="inlineStr"/>
      <c r="D25" s="1" t="inlineStr"/>
    </row>
    <row r="26">
      <c r="A26" s="1" t="inlineStr">
        <is>
          <t>Shaheen H2 Demand (2050)</t>
        </is>
      </c>
      <c r="B26" s="3" t="n">
        <v>7703.5</v>
      </c>
      <c r="C26" s="1" t="inlineStr">
        <is>
          <t>kt/year</t>
        </is>
      </c>
      <c r="D26" s="1" t="inlineStr">
        <is>
          <t>From model optimization</t>
        </is>
      </c>
    </row>
    <row r="27">
      <c r="A27" s="1" t="inlineStr">
        <is>
          <t>Shaheen Elec Demand (2050)</t>
        </is>
      </c>
      <c r="B27" s="3" t="n">
        <v>164.5</v>
      </c>
      <c r="C27" s="1" t="inlineStr">
        <is>
          <t>TWh/year</t>
        </is>
      </c>
      <c r="D27" s="1" t="inlineStr">
        <is>
          <t>From model optimization</t>
        </is>
      </c>
    </row>
    <row r="28">
      <c r="A28" s="1" t="inlineStr">
        <is>
          <t>구조조정 25% Scale</t>
        </is>
      </c>
      <c r="B28" s="3" t="n">
        <v>0.60087</v>
      </c>
      <c r="C28" s="1" t="inlineStr"/>
      <c r="D28" s="1">
        <f> 4628.8 / 7703.5</f>
        <v/>
      </c>
    </row>
    <row r="29">
      <c r="A29" s="1" t="inlineStr">
        <is>
          <t>구조조정 40% Scale</t>
        </is>
      </c>
      <c r="B29" s="3" t="n">
        <v>0.52174</v>
      </c>
      <c r="C29" s="1" t="inlineStr"/>
      <c r="D29" s="1">
        <f> 4019.2 / 7703.5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Year</t>
        </is>
      </c>
      <c r="B1" s="4" t="inlineStr">
        <is>
          <t>H2 Price ($/kg)</t>
        </is>
      </c>
      <c r="C1" s="4" t="inlineStr">
        <is>
          <t>RE Price ($/MWh)</t>
        </is>
      </c>
      <c r="D1" s="4" t="inlineStr">
        <is>
          <t>Grid Price ($/MWh)</t>
        </is>
      </c>
    </row>
    <row r="2">
      <c r="A2" s="1" t="n">
        <v>2025</v>
      </c>
      <c r="B2" s="1" t="n">
        <v>6.73</v>
      </c>
      <c r="C2" s="1" t="n">
        <v>129.29</v>
      </c>
      <c r="D2" s="1" t="n">
        <v>100</v>
      </c>
    </row>
    <row r="3">
      <c r="A3" s="1" t="n">
        <v>2026</v>
      </c>
      <c r="B3" s="1" t="n">
        <v>6.56</v>
      </c>
      <c r="C3" s="1" t="n">
        <v>134.46</v>
      </c>
      <c r="D3" s="1" t="n">
        <v>103.66</v>
      </c>
    </row>
    <row r="4">
      <c r="A4" s="1" t="n">
        <v>2027</v>
      </c>
      <c r="B4" s="1" t="n">
        <v>6.39</v>
      </c>
      <c r="C4" s="1" t="n">
        <v>139.84</v>
      </c>
      <c r="D4" s="1" t="n">
        <v>107.31</v>
      </c>
    </row>
    <row r="5">
      <c r="A5" s="1" t="n">
        <v>2028</v>
      </c>
      <c r="B5" s="1" t="n">
        <v>6.22</v>
      </c>
      <c r="C5" s="1" t="n">
        <v>145.43</v>
      </c>
      <c r="D5" s="1" t="n">
        <v>110.97</v>
      </c>
    </row>
    <row r="6">
      <c r="A6" s="1" t="n">
        <v>2029</v>
      </c>
      <c r="B6" s="1" t="n">
        <v>6.05</v>
      </c>
      <c r="C6" s="1" t="n">
        <v>151.25</v>
      </c>
      <c r="D6" s="1" t="n">
        <v>114.62</v>
      </c>
    </row>
    <row r="7">
      <c r="A7" s="1" t="n">
        <v>2030</v>
      </c>
      <c r="B7" s="1" t="n">
        <v>5.88</v>
      </c>
      <c r="C7" s="1" t="n">
        <v>157.3</v>
      </c>
      <c r="D7" s="1" t="n">
        <v>118.28</v>
      </c>
    </row>
    <row r="8">
      <c r="A8" s="1" t="n">
        <v>2031</v>
      </c>
      <c r="B8" s="1" t="n">
        <v>5.71</v>
      </c>
      <c r="C8" s="1" t="n">
        <v>163.59</v>
      </c>
      <c r="D8" s="1" t="n">
        <v>121.93</v>
      </c>
    </row>
    <row r="9">
      <c r="A9" s="1" t="n">
        <v>2032</v>
      </c>
      <c r="B9" s="1" t="n">
        <v>5.53</v>
      </c>
      <c r="C9" s="1" t="n">
        <v>170.13</v>
      </c>
      <c r="D9" s="1" t="n">
        <v>125.59</v>
      </c>
    </row>
    <row r="10">
      <c r="A10" s="1" t="n">
        <v>2033</v>
      </c>
      <c r="B10" s="1" t="n">
        <v>5.36</v>
      </c>
      <c r="C10" s="1" t="n">
        <v>176.94</v>
      </c>
      <c r="D10" s="1" t="n">
        <v>129.24</v>
      </c>
    </row>
    <row r="11">
      <c r="A11" s="1" t="n">
        <v>2034</v>
      </c>
      <c r="B11" s="1" t="n">
        <v>5.19</v>
      </c>
      <c r="C11" s="1" t="n">
        <v>184.02</v>
      </c>
      <c r="D11" s="1" t="n">
        <v>132.9</v>
      </c>
    </row>
    <row r="12">
      <c r="A12" s="1" t="n">
        <v>2035</v>
      </c>
      <c r="B12" s="1" t="n">
        <v>5.02</v>
      </c>
      <c r="C12" s="1" t="n">
        <v>191.38</v>
      </c>
      <c r="D12" s="1" t="n">
        <v>136.55</v>
      </c>
    </row>
    <row r="13">
      <c r="A13" s="1" t="n">
        <v>2036</v>
      </c>
      <c r="B13" s="1" t="n">
        <v>4.84</v>
      </c>
      <c r="C13" s="1" t="n">
        <v>191.38</v>
      </c>
      <c r="D13" s="1" t="n">
        <v>140.21</v>
      </c>
    </row>
    <row r="14">
      <c r="A14" s="1" t="n">
        <v>2037</v>
      </c>
      <c r="B14" s="1" t="n">
        <v>4.67</v>
      </c>
      <c r="C14" s="1" t="n">
        <v>191.38</v>
      </c>
      <c r="D14" s="1" t="n">
        <v>143.86</v>
      </c>
    </row>
    <row r="15">
      <c r="A15" s="1" t="n">
        <v>2038</v>
      </c>
      <c r="B15" s="1" t="n">
        <v>4.5</v>
      </c>
      <c r="C15" s="1" t="n">
        <v>191.38</v>
      </c>
      <c r="D15" s="1" t="n">
        <v>147.52</v>
      </c>
    </row>
    <row r="16">
      <c r="A16" s="1" t="n">
        <v>2039</v>
      </c>
      <c r="B16" s="1" t="n">
        <v>4.33</v>
      </c>
      <c r="C16" s="1" t="n">
        <v>191.38</v>
      </c>
      <c r="D16" s="1" t="n">
        <v>151.17</v>
      </c>
    </row>
    <row r="17">
      <c r="A17" s="1" t="n">
        <v>2040</v>
      </c>
      <c r="B17" s="1" t="n">
        <v>4.16</v>
      </c>
      <c r="C17" s="1" t="n">
        <v>191.38</v>
      </c>
      <c r="D17" s="1" t="n">
        <v>154.83</v>
      </c>
    </row>
    <row r="18">
      <c r="A18" s="1" t="n">
        <v>2041</v>
      </c>
      <c r="B18" s="1" t="n">
        <v>3.99</v>
      </c>
      <c r="C18" s="1" t="n">
        <v>191.38</v>
      </c>
      <c r="D18" s="1" t="n">
        <v>158.48</v>
      </c>
    </row>
    <row r="19">
      <c r="A19" s="1" t="n">
        <v>2042</v>
      </c>
      <c r="B19" s="1" t="n">
        <v>3.82</v>
      </c>
      <c r="C19" s="1" t="n">
        <v>191.38</v>
      </c>
      <c r="D19" s="1" t="n">
        <v>162.14</v>
      </c>
    </row>
    <row r="20">
      <c r="A20" s="1" t="n">
        <v>2043</v>
      </c>
      <c r="B20" s="1" t="n">
        <v>3.65</v>
      </c>
      <c r="C20" s="1" t="n">
        <v>191.38</v>
      </c>
      <c r="D20" s="1" t="n">
        <v>165.79</v>
      </c>
    </row>
    <row r="21">
      <c r="A21" s="1" t="n">
        <v>2044</v>
      </c>
      <c r="B21" s="1" t="n">
        <v>3.48</v>
      </c>
      <c r="C21" s="1" t="n">
        <v>191.38</v>
      </c>
      <c r="D21" s="1" t="n">
        <v>169.45</v>
      </c>
    </row>
    <row r="22">
      <c r="A22" s="1" t="n">
        <v>2045</v>
      </c>
      <c r="B22" s="1" t="n">
        <v>3.31</v>
      </c>
      <c r="C22" s="1" t="n">
        <v>191.38</v>
      </c>
      <c r="D22" s="1" t="n">
        <v>173.1</v>
      </c>
    </row>
    <row r="23">
      <c r="A23" s="1" t="n">
        <v>2046</v>
      </c>
      <c r="B23" s="1" t="n">
        <v>3.17</v>
      </c>
      <c r="C23" s="1" t="n">
        <v>191.38</v>
      </c>
      <c r="D23" s="1" t="n">
        <v>176.76</v>
      </c>
    </row>
    <row r="24">
      <c r="A24" s="1" t="n">
        <v>2047</v>
      </c>
      <c r="B24" s="1" t="n">
        <v>3.04</v>
      </c>
      <c r="C24" s="1" t="n">
        <v>191.38</v>
      </c>
      <c r="D24" s="1" t="n">
        <v>180.41</v>
      </c>
    </row>
    <row r="25">
      <c r="A25" s="1" t="n">
        <v>2048</v>
      </c>
      <c r="B25" s="1" t="n">
        <v>2.9</v>
      </c>
      <c r="C25" s="1" t="n">
        <v>191.38</v>
      </c>
      <c r="D25" s="1" t="n">
        <v>184.07</v>
      </c>
    </row>
    <row r="26">
      <c r="A26" s="1" t="n">
        <v>2049</v>
      </c>
      <c r="B26" s="1" t="n">
        <v>2.76</v>
      </c>
      <c r="C26" s="1" t="n">
        <v>191.38</v>
      </c>
      <c r="D26" s="1" t="n">
        <v>187.72</v>
      </c>
    </row>
    <row r="27">
      <c r="A27" s="1" t="n">
        <v>2050</v>
      </c>
      <c r="B27" s="1" t="n">
        <v>2.63</v>
      </c>
      <c r="C27" s="1" t="n">
        <v>191.38</v>
      </c>
      <c r="D27" s="1" t="n">
        <v>191.38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Year</t>
        </is>
      </c>
      <c r="B1" s="4" t="inlineStr">
        <is>
          <t>Shaheen Multiplier</t>
        </is>
      </c>
      <c r="C1" s="4" t="inlineStr">
        <is>
          <t>구조조정 25% Multiplier</t>
        </is>
      </c>
      <c r="D1" s="4" t="inlineStr">
        <is>
          <t>구조조정 40% Multiplier</t>
        </is>
      </c>
      <c r="E1" s="4" t="inlineStr">
        <is>
          <t>Shaheen Ethylene (kt)</t>
        </is>
      </c>
      <c r="F1" s="4" t="inlineStr">
        <is>
          <t>구조조정 25% Ethylene (kt)</t>
        </is>
      </c>
      <c r="G1" s="4" t="inlineStr">
        <is>
          <t>구조조정 40% Ethylene (kt)</t>
        </is>
      </c>
    </row>
    <row r="2">
      <c r="A2" s="1" t="n">
        <v>2025</v>
      </c>
      <c r="B2" s="1" t="n">
        <v>1</v>
      </c>
      <c r="C2" s="1" t="n">
        <v>1</v>
      </c>
      <c r="D2" s="1" t="n">
        <v>1</v>
      </c>
      <c r="E2" s="1">
        <f>'1_Parameters'!$B$4*B2</f>
        <v/>
      </c>
      <c r="F2" s="1">
        <f>'1_Parameters'!$B$4*C2</f>
        <v/>
      </c>
      <c r="G2" s="1">
        <f>'1_Parameters'!$B$4*D2</f>
        <v/>
      </c>
    </row>
    <row r="3">
      <c r="A3" s="1" t="n">
        <v>2026</v>
      </c>
      <c r="B3" s="1" t="n">
        <v>1.15</v>
      </c>
      <c r="C3" s="1" t="n">
        <v>0.6909999999999999</v>
      </c>
      <c r="D3" s="1" t="n">
        <v>0.97</v>
      </c>
      <c r="E3" s="1">
        <f>'1_Parameters'!$B$4*B3</f>
        <v/>
      </c>
      <c r="F3" s="1">
        <f>'1_Parameters'!$B$4*C3</f>
        <v/>
      </c>
      <c r="G3" s="1">
        <f>'1_Parameters'!$B$4*D3</f>
        <v/>
      </c>
    </row>
    <row r="4">
      <c r="A4" s="1" t="n">
        <v>2027</v>
      </c>
      <c r="B4" s="1" t="n">
        <v>1.15</v>
      </c>
      <c r="C4" s="1" t="n">
        <v>0.6909999999999999</v>
      </c>
      <c r="D4" s="1" t="n">
        <v>0.944</v>
      </c>
      <c r="E4" s="1">
        <f>'1_Parameters'!$B$4*B4</f>
        <v/>
      </c>
      <c r="F4" s="1">
        <f>'1_Parameters'!$B$4*C4</f>
        <v/>
      </c>
      <c r="G4" s="1">
        <f>'1_Parameters'!$B$4*D4</f>
        <v/>
      </c>
    </row>
    <row r="5">
      <c r="A5" s="1" t="n">
        <v>2028</v>
      </c>
      <c r="B5" s="1" t="n">
        <v>1.15</v>
      </c>
      <c r="C5" s="1" t="n">
        <v>0.6909999999999999</v>
      </c>
      <c r="D5" s="1" t="n">
        <v>0.917</v>
      </c>
      <c r="E5" s="1">
        <f>'1_Parameters'!$B$4*B5</f>
        <v/>
      </c>
      <c r="F5" s="1">
        <f>'1_Parameters'!$B$4*C5</f>
        <v/>
      </c>
      <c r="G5" s="1">
        <f>'1_Parameters'!$B$4*D5</f>
        <v/>
      </c>
    </row>
    <row r="6">
      <c r="A6" s="1" t="n">
        <v>2029</v>
      </c>
      <c r="B6" s="1" t="n">
        <v>1.15</v>
      </c>
      <c r="C6" s="1" t="n">
        <v>0.6909999999999999</v>
      </c>
      <c r="D6" s="1" t="n">
        <v>0.891</v>
      </c>
      <c r="E6" s="1">
        <f>'1_Parameters'!$B$4*B6</f>
        <v/>
      </c>
      <c r="F6" s="1">
        <f>'1_Parameters'!$B$4*C6</f>
        <v/>
      </c>
      <c r="G6" s="1">
        <f>'1_Parameters'!$B$4*D6</f>
        <v/>
      </c>
    </row>
    <row r="7">
      <c r="A7" s="1" t="n">
        <v>2030</v>
      </c>
      <c r="B7" s="1" t="n">
        <v>1.15</v>
      </c>
      <c r="C7" s="1" t="n">
        <v>0.6909999999999999</v>
      </c>
      <c r="D7" s="1" t="n">
        <v>0.875</v>
      </c>
      <c r="E7" s="1">
        <f>'1_Parameters'!$B$4*B7</f>
        <v/>
      </c>
      <c r="F7" s="1">
        <f>'1_Parameters'!$B$4*C7</f>
        <v/>
      </c>
      <c r="G7" s="1">
        <f>'1_Parameters'!$B$4*D7</f>
        <v/>
      </c>
    </row>
    <row r="8">
      <c r="A8" s="1" t="n">
        <v>2031</v>
      </c>
      <c r="B8" s="1" t="n">
        <v>1.15</v>
      </c>
      <c r="C8" s="1" t="n">
        <v>0.6909999999999999</v>
      </c>
      <c r="D8" s="1" t="n">
        <v>0.849</v>
      </c>
      <c r="E8" s="1">
        <f>'1_Parameters'!$B$4*B8</f>
        <v/>
      </c>
      <c r="F8" s="1">
        <f>'1_Parameters'!$B$4*C8</f>
        <v/>
      </c>
      <c r="G8" s="1">
        <f>'1_Parameters'!$B$4*D8</f>
        <v/>
      </c>
    </row>
    <row r="9">
      <c r="A9" s="1" t="n">
        <v>2032</v>
      </c>
      <c r="B9" s="1" t="n">
        <v>1.15</v>
      </c>
      <c r="C9" s="1" t="n">
        <v>0.6909999999999999</v>
      </c>
      <c r="D9" s="1" t="n">
        <v>0.823</v>
      </c>
      <c r="E9" s="1">
        <f>'1_Parameters'!$B$4*B9</f>
        <v/>
      </c>
      <c r="F9" s="1">
        <f>'1_Parameters'!$B$4*C9</f>
        <v/>
      </c>
      <c r="G9" s="1">
        <f>'1_Parameters'!$B$4*D9</f>
        <v/>
      </c>
    </row>
    <row r="10">
      <c r="A10" s="1" t="n">
        <v>2033</v>
      </c>
      <c r="B10" s="1" t="n">
        <v>1.15</v>
      </c>
      <c r="C10" s="1" t="n">
        <v>0.6909999999999999</v>
      </c>
      <c r="D10" s="1" t="n">
        <v>0.797</v>
      </c>
      <c r="E10" s="1">
        <f>'1_Parameters'!$B$4*B10</f>
        <v/>
      </c>
      <c r="F10" s="1">
        <f>'1_Parameters'!$B$4*C10</f>
        <v/>
      </c>
      <c r="G10" s="1">
        <f>'1_Parameters'!$B$4*D10</f>
        <v/>
      </c>
    </row>
    <row r="11">
      <c r="A11" s="1" t="n">
        <v>2034</v>
      </c>
      <c r="B11" s="1" t="n">
        <v>1.15</v>
      </c>
      <c r="C11" s="1" t="n">
        <v>0.6909999999999999</v>
      </c>
      <c r="D11" s="1" t="n">
        <v>0.771</v>
      </c>
      <c r="E11" s="1">
        <f>'1_Parameters'!$B$4*B11</f>
        <v/>
      </c>
      <c r="F11" s="1">
        <f>'1_Parameters'!$B$4*C11</f>
        <v/>
      </c>
      <c r="G11" s="1">
        <f>'1_Parameters'!$B$4*D11</f>
        <v/>
      </c>
    </row>
    <row r="12">
      <c r="A12" s="1" t="n">
        <v>2035</v>
      </c>
      <c r="B12" s="1" t="n">
        <v>1.15</v>
      </c>
      <c r="C12" s="1" t="n">
        <v>0.6909999999999999</v>
      </c>
      <c r="D12" s="1" t="n">
        <v>0.756</v>
      </c>
      <c r="E12" s="1">
        <f>'1_Parameters'!$B$4*B12</f>
        <v/>
      </c>
      <c r="F12" s="1">
        <f>'1_Parameters'!$B$4*C12</f>
        <v/>
      </c>
      <c r="G12" s="1">
        <f>'1_Parameters'!$B$4*D12</f>
        <v/>
      </c>
    </row>
    <row r="13">
      <c r="A13" s="1" t="n">
        <v>2036</v>
      </c>
      <c r="B13" s="1" t="n">
        <v>1.15</v>
      </c>
      <c r="C13" s="1" t="n">
        <v>0.6909999999999999</v>
      </c>
      <c r="D13" s="1" t="n">
        <v>0.73</v>
      </c>
      <c r="E13" s="1">
        <f>'1_Parameters'!$B$4*B13</f>
        <v/>
      </c>
      <c r="F13" s="1">
        <f>'1_Parameters'!$B$4*C13</f>
        <v/>
      </c>
      <c r="G13" s="1">
        <f>'1_Parameters'!$B$4*D13</f>
        <v/>
      </c>
    </row>
    <row r="14">
      <c r="A14" s="1" t="n">
        <v>2037</v>
      </c>
      <c r="B14" s="1" t="n">
        <v>1.15</v>
      </c>
      <c r="C14" s="1" t="n">
        <v>0.6909999999999999</v>
      </c>
      <c r="D14" s="1" t="n">
        <v>0.704</v>
      </c>
      <c r="E14" s="1">
        <f>'1_Parameters'!$B$4*B14</f>
        <v/>
      </c>
      <c r="F14" s="1">
        <f>'1_Parameters'!$B$4*C14</f>
        <v/>
      </c>
      <c r="G14" s="1">
        <f>'1_Parameters'!$B$4*D14</f>
        <v/>
      </c>
    </row>
    <row r="15">
      <c r="A15" s="1" t="n">
        <v>2038</v>
      </c>
      <c r="B15" s="1" t="n">
        <v>1.15</v>
      </c>
      <c r="C15" s="1" t="n">
        <v>0.6909999999999999</v>
      </c>
      <c r="D15" s="1" t="n">
        <v>0.678</v>
      </c>
      <c r="E15" s="1">
        <f>'1_Parameters'!$B$4*B15</f>
        <v/>
      </c>
      <c r="F15" s="1">
        <f>'1_Parameters'!$B$4*C15</f>
        <v/>
      </c>
      <c r="G15" s="1">
        <f>'1_Parameters'!$B$4*D15</f>
        <v/>
      </c>
    </row>
    <row r="16">
      <c r="A16" s="1" t="n">
        <v>2039</v>
      </c>
      <c r="B16" s="1" t="n">
        <v>1.15</v>
      </c>
      <c r="C16" s="1" t="n">
        <v>0.6909999999999999</v>
      </c>
      <c r="D16" s="1" t="n">
        <v>0.652</v>
      </c>
      <c r="E16" s="1">
        <f>'1_Parameters'!$B$4*B16</f>
        <v/>
      </c>
      <c r="F16" s="1">
        <f>'1_Parameters'!$B$4*C16</f>
        <v/>
      </c>
      <c r="G16" s="1">
        <f>'1_Parameters'!$B$4*D16</f>
        <v/>
      </c>
    </row>
    <row r="17">
      <c r="A17" s="1" t="n">
        <v>2040</v>
      </c>
      <c r="B17" s="1" t="n">
        <v>1.15</v>
      </c>
      <c r="C17" s="1" t="n">
        <v>0.6909999999999999</v>
      </c>
      <c r="D17" s="1" t="n">
        <v>0.6</v>
      </c>
      <c r="E17" s="1">
        <f>'1_Parameters'!$B$4*B17</f>
        <v/>
      </c>
      <c r="F17" s="1">
        <f>'1_Parameters'!$B$4*C17</f>
        <v/>
      </c>
      <c r="G17" s="1">
        <f>'1_Parameters'!$B$4*D17</f>
        <v/>
      </c>
    </row>
    <row r="18">
      <c r="A18" s="1" t="n">
        <v>2041</v>
      </c>
      <c r="B18" s="1" t="n">
        <v>1.15</v>
      </c>
      <c r="C18" s="1" t="n">
        <v>0.6909999999999999</v>
      </c>
      <c r="D18" s="1" t="n">
        <v>0.6</v>
      </c>
      <c r="E18" s="1">
        <f>'1_Parameters'!$B$4*B18</f>
        <v/>
      </c>
      <c r="F18" s="1">
        <f>'1_Parameters'!$B$4*C18</f>
        <v/>
      </c>
      <c r="G18" s="1">
        <f>'1_Parameters'!$B$4*D18</f>
        <v/>
      </c>
    </row>
    <row r="19">
      <c r="A19" s="1" t="n">
        <v>2042</v>
      </c>
      <c r="B19" s="1" t="n">
        <v>1.15</v>
      </c>
      <c r="C19" s="1" t="n">
        <v>0.6909999999999999</v>
      </c>
      <c r="D19" s="1" t="n">
        <v>0.6</v>
      </c>
      <c r="E19" s="1">
        <f>'1_Parameters'!$B$4*B19</f>
        <v/>
      </c>
      <c r="F19" s="1">
        <f>'1_Parameters'!$B$4*C19</f>
        <v/>
      </c>
      <c r="G19" s="1">
        <f>'1_Parameters'!$B$4*D19</f>
        <v/>
      </c>
    </row>
    <row r="20">
      <c r="A20" s="1" t="n">
        <v>2043</v>
      </c>
      <c r="B20" s="1" t="n">
        <v>1.15</v>
      </c>
      <c r="C20" s="1" t="n">
        <v>0.6909999999999999</v>
      </c>
      <c r="D20" s="1" t="n">
        <v>0.6</v>
      </c>
      <c r="E20" s="1">
        <f>'1_Parameters'!$B$4*B20</f>
        <v/>
      </c>
      <c r="F20" s="1">
        <f>'1_Parameters'!$B$4*C20</f>
        <v/>
      </c>
      <c r="G20" s="1">
        <f>'1_Parameters'!$B$4*D20</f>
        <v/>
      </c>
    </row>
    <row r="21">
      <c r="A21" s="1" t="n">
        <v>2044</v>
      </c>
      <c r="B21" s="1" t="n">
        <v>1.15</v>
      </c>
      <c r="C21" s="1" t="n">
        <v>0.6909999999999999</v>
      </c>
      <c r="D21" s="1" t="n">
        <v>0.6</v>
      </c>
      <c r="E21" s="1">
        <f>'1_Parameters'!$B$4*B21</f>
        <v/>
      </c>
      <c r="F21" s="1">
        <f>'1_Parameters'!$B$4*C21</f>
        <v/>
      </c>
      <c r="G21" s="1">
        <f>'1_Parameters'!$B$4*D21</f>
        <v/>
      </c>
    </row>
    <row r="22">
      <c r="A22" s="1" t="n">
        <v>2045</v>
      </c>
      <c r="B22" s="1" t="n">
        <v>1.15</v>
      </c>
      <c r="C22" s="1" t="n">
        <v>0.6909999999999999</v>
      </c>
      <c r="D22" s="1" t="n">
        <v>0.6</v>
      </c>
      <c r="E22" s="1">
        <f>'1_Parameters'!$B$4*B22</f>
        <v/>
      </c>
      <c r="F22" s="1">
        <f>'1_Parameters'!$B$4*C22</f>
        <v/>
      </c>
      <c r="G22" s="1">
        <f>'1_Parameters'!$B$4*D22</f>
        <v/>
      </c>
    </row>
    <row r="23">
      <c r="A23" s="1" t="n">
        <v>2046</v>
      </c>
      <c r="B23" s="1" t="n">
        <v>1.15</v>
      </c>
      <c r="C23" s="1" t="n">
        <v>0.6909999999999999</v>
      </c>
      <c r="D23" s="1" t="n">
        <v>0.6</v>
      </c>
      <c r="E23" s="1">
        <f>'1_Parameters'!$B$4*B23</f>
        <v/>
      </c>
      <c r="F23" s="1">
        <f>'1_Parameters'!$B$4*C23</f>
        <v/>
      </c>
      <c r="G23" s="1">
        <f>'1_Parameters'!$B$4*D23</f>
        <v/>
      </c>
    </row>
    <row r="24">
      <c r="A24" s="1" t="n">
        <v>2047</v>
      </c>
      <c r="B24" s="1" t="n">
        <v>1.15</v>
      </c>
      <c r="C24" s="1" t="n">
        <v>0.6909999999999999</v>
      </c>
      <c r="D24" s="1" t="n">
        <v>0.6</v>
      </c>
      <c r="E24" s="1">
        <f>'1_Parameters'!$B$4*B24</f>
        <v/>
      </c>
      <c r="F24" s="1">
        <f>'1_Parameters'!$B$4*C24</f>
        <v/>
      </c>
      <c r="G24" s="1">
        <f>'1_Parameters'!$B$4*D24</f>
        <v/>
      </c>
    </row>
    <row r="25">
      <c r="A25" s="1" t="n">
        <v>2048</v>
      </c>
      <c r="B25" s="1" t="n">
        <v>1.15</v>
      </c>
      <c r="C25" s="1" t="n">
        <v>0.6909999999999999</v>
      </c>
      <c r="D25" s="1" t="n">
        <v>0.6</v>
      </c>
      <c r="E25" s="1">
        <f>'1_Parameters'!$B$4*B25</f>
        <v/>
      </c>
      <c r="F25" s="1">
        <f>'1_Parameters'!$B$4*C25</f>
        <v/>
      </c>
      <c r="G25" s="1">
        <f>'1_Parameters'!$B$4*D25</f>
        <v/>
      </c>
    </row>
    <row r="26">
      <c r="A26" s="1" t="n">
        <v>2049</v>
      </c>
      <c r="B26" s="1" t="n">
        <v>1.15</v>
      </c>
      <c r="C26" s="1" t="n">
        <v>0.6909999999999999</v>
      </c>
      <c r="D26" s="1" t="n">
        <v>0.6</v>
      </c>
      <c r="E26" s="1">
        <f>'1_Parameters'!$B$4*B26</f>
        <v/>
      </c>
      <c r="F26" s="1">
        <f>'1_Parameters'!$B$4*C26</f>
        <v/>
      </c>
      <c r="G26" s="1">
        <f>'1_Parameters'!$B$4*D26</f>
        <v/>
      </c>
    </row>
    <row r="27">
      <c r="A27" s="1" t="n">
        <v>2050</v>
      </c>
      <c r="B27" s="1" t="n">
        <v>1.15</v>
      </c>
      <c r="C27" s="1" t="n">
        <v>0.6909999999999999</v>
      </c>
      <c r="D27" s="1" t="n">
        <v>0.6</v>
      </c>
      <c r="E27" s="1">
        <f>'1_Parameters'!$B$4*B27</f>
        <v/>
      </c>
      <c r="F27" s="1">
        <f>'1_Parameters'!$B$4*C27</f>
        <v/>
      </c>
      <c r="G27" s="1">
        <f>'1_Parameters'!$B$4*D27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Year</t>
        </is>
      </c>
      <c r="B1" s="4" t="inlineStr">
        <is>
          <t>Shaheen H2 (kt)</t>
        </is>
      </c>
      <c r="C1" s="4" t="inlineStr">
        <is>
          <t>구조조정25% H2 (kt)</t>
        </is>
      </c>
      <c r="D1" s="4" t="inlineStr">
        <is>
          <t>구조조정40% H2 (kt)</t>
        </is>
      </c>
      <c r="E1" s="4" t="inlineStr">
        <is>
          <t>H2 Price ($/kg)</t>
        </is>
      </c>
      <c r="F1" s="4" t="inlineStr">
        <is>
          <t>Shaheen H2 Cost ($B)</t>
        </is>
      </c>
      <c r="G1" s="4" t="inlineStr">
        <is>
          <t>구조조정25% Cost ($B)</t>
        </is>
      </c>
      <c r="H1" s="4" t="inlineStr">
        <is>
          <t>구조조정40% Cost ($B)</t>
        </is>
      </c>
    </row>
    <row r="2">
      <c r="A2" s="1" t="n">
        <v>2025</v>
      </c>
      <c r="B2" s="1">
        <f>'1_Parameters'!$B$26*('3_Production_Scenarios'!B2/1.15)</f>
        <v/>
      </c>
      <c r="C2" s="1">
        <f>'1_Parameters'!$B$26*('3_Production_Scenarios'!C2/1.15)</f>
        <v/>
      </c>
      <c r="D2" s="1">
        <f>'1_Parameters'!$B$26*('3_Production_Scenarios'!D2/1.15)</f>
        <v/>
      </c>
      <c r="E2" s="1">
        <f>'2_Price_Trajectories'!B2</f>
        <v/>
      </c>
      <c r="F2" s="1">
        <f>B2*E2/1000</f>
        <v/>
      </c>
      <c r="G2" s="1">
        <f>C2*E2/1000</f>
        <v/>
      </c>
      <c r="H2" s="1">
        <f>D2*E2/1000</f>
        <v/>
      </c>
    </row>
    <row r="3">
      <c r="A3" s="1" t="n">
        <v>2026</v>
      </c>
      <c r="B3" s="1">
        <f>'1_Parameters'!$B$26*('3_Production_Scenarios'!B3/1.15)</f>
        <v/>
      </c>
      <c r="C3" s="1">
        <f>'1_Parameters'!$B$26*('3_Production_Scenarios'!C3/1.15)</f>
        <v/>
      </c>
      <c r="D3" s="1">
        <f>'1_Parameters'!$B$26*('3_Production_Scenarios'!D3/1.15)</f>
        <v/>
      </c>
      <c r="E3" s="1">
        <f>'2_Price_Trajectories'!B3</f>
        <v/>
      </c>
      <c r="F3" s="1">
        <f>B3*E3/1000</f>
        <v/>
      </c>
      <c r="G3" s="1">
        <f>C3*E3/1000</f>
        <v/>
      </c>
      <c r="H3" s="1">
        <f>D3*E3/1000</f>
        <v/>
      </c>
    </row>
    <row r="4">
      <c r="A4" s="1" t="n">
        <v>2027</v>
      </c>
      <c r="B4" s="1">
        <f>'1_Parameters'!$B$26*('3_Production_Scenarios'!B4/1.15)</f>
        <v/>
      </c>
      <c r="C4" s="1">
        <f>'1_Parameters'!$B$26*('3_Production_Scenarios'!C4/1.15)</f>
        <v/>
      </c>
      <c r="D4" s="1">
        <f>'1_Parameters'!$B$26*('3_Production_Scenarios'!D4/1.15)</f>
        <v/>
      </c>
      <c r="E4" s="1">
        <f>'2_Price_Trajectories'!B4</f>
        <v/>
      </c>
      <c r="F4" s="1">
        <f>B4*E4/1000</f>
        <v/>
      </c>
      <c r="G4" s="1">
        <f>C4*E4/1000</f>
        <v/>
      </c>
      <c r="H4" s="1">
        <f>D4*E4/1000</f>
        <v/>
      </c>
    </row>
    <row r="5">
      <c r="A5" s="1" t="n">
        <v>2028</v>
      </c>
      <c r="B5" s="1">
        <f>'1_Parameters'!$B$26*('3_Production_Scenarios'!B5/1.15)</f>
        <v/>
      </c>
      <c r="C5" s="1">
        <f>'1_Parameters'!$B$26*('3_Production_Scenarios'!C5/1.15)</f>
        <v/>
      </c>
      <c r="D5" s="1">
        <f>'1_Parameters'!$B$26*('3_Production_Scenarios'!D5/1.15)</f>
        <v/>
      </c>
      <c r="E5" s="1">
        <f>'2_Price_Trajectories'!B5</f>
        <v/>
      </c>
      <c r="F5" s="1">
        <f>B5*E5/1000</f>
        <v/>
      </c>
      <c r="G5" s="1">
        <f>C5*E5/1000</f>
        <v/>
      </c>
      <c r="H5" s="1">
        <f>D5*E5/1000</f>
        <v/>
      </c>
    </row>
    <row r="6">
      <c r="A6" s="1" t="n">
        <v>2029</v>
      </c>
      <c r="B6" s="1">
        <f>'1_Parameters'!$B$26*('3_Production_Scenarios'!B6/1.15)</f>
        <v/>
      </c>
      <c r="C6" s="1">
        <f>'1_Parameters'!$B$26*('3_Production_Scenarios'!C6/1.15)</f>
        <v/>
      </c>
      <c r="D6" s="1">
        <f>'1_Parameters'!$B$26*('3_Production_Scenarios'!D6/1.15)</f>
        <v/>
      </c>
      <c r="E6" s="1">
        <f>'2_Price_Trajectories'!B6</f>
        <v/>
      </c>
      <c r="F6" s="1">
        <f>B6*E6/1000</f>
        <v/>
      </c>
      <c r="G6" s="1">
        <f>C6*E6/1000</f>
        <v/>
      </c>
      <c r="H6" s="1">
        <f>D6*E6/1000</f>
        <v/>
      </c>
    </row>
    <row r="7">
      <c r="A7" s="1" t="n">
        <v>2030</v>
      </c>
      <c r="B7" s="1">
        <f>'1_Parameters'!$B$26*('3_Production_Scenarios'!B7/1.15)</f>
        <v/>
      </c>
      <c r="C7" s="1">
        <f>'1_Parameters'!$B$26*('3_Production_Scenarios'!C7/1.15)</f>
        <v/>
      </c>
      <c r="D7" s="1">
        <f>'1_Parameters'!$B$26*('3_Production_Scenarios'!D7/1.15)</f>
        <v/>
      </c>
      <c r="E7" s="1">
        <f>'2_Price_Trajectories'!B7</f>
        <v/>
      </c>
      <c r="F7" s="1">
        <f>B7*E7/1000</f>
        <v/>
      </c>
      <c r="G7" s="1">
        <f>C7*E7/1000</f>
        <v/>
      </c>
      <c r="H7" s="1">
        <f>D7*E7/1000</f>
        <v/>
      </c>
    </row>
    <row r="8">
      <c r="A8" s="1" t="n">
        <v>2031</v>
      </c>
      <c r="B8" s="1">
        <f>'1_Parameters'!$B$26*('3_Production_Scenarios'!B8/1.15)</f>
        <v/>
      </c>
      <c r="C8" s="1">
        <f>'1_Parameters'!$B$26*('3_Production_Scenarios'!C8/1.15)</f>
        <v/>
      </c>
      <c r="D8" s="1">
        <f>'1_Parameters'!$B$26*('3_Production_Scenarios'!D8/1.15)</f>
        <v/>
      </c>
      <c r="E8" s="1">
        <f>'2_Price_Trajectories'!B8</f>
        <v/>
      </c>
      <c r="F8" s="1">
        <f>B8*E8/1000</f>
        <v/>
      </c>
      <c r="G8" s="1">
        <f>C8*E8/1000</f>
        <v/>
      </c>
      <c r="H8" s="1">
        <f>D8*E8/1000</f>
        <v/>
      </c>
    </row>
    <row r="9">
      <c r="A9" s="1" t="n">
        <v>2032</v>
      </c>
      <c r="B9" s="1">
        <f>'1_Parameters'!$B$26*('3_Production_Scenarios'!B9/1.15)</f>
        <v/>
      </c>
      <c r="C9" s="1">
        <f>'1_Parameters'!$B$26*('3_Production_Scenarios'!C9/1.15)</f>
        <v/>
      </c>
      <c r="D9" s="1">
        <f>'1_Parameters'!$B$26*('3_Production_Scenarios'!D9/1.15)</f>
        <v/>
      </c>
      <c r="E9" s="1">
        <f>'2_Price_Trajectories'!B9</f>
        <v/>
      </c>
      <c r="F9" s="1">
        <f>B9*E9/1000</f>
        <v/>
      </c>
      <c r="G9" s="1">
        <f>C9*E9/1000</f>
        <v/>
      </c>
      <c r="H9" s="1">
        <f>D9*E9/1000</f>
        <v/>
      </c>
    </row>
    <row r="10">
      <c r="A10" s="1" t="n">
        <v>2033</v>
      </c>
      <c r="B10" s="1">
        <f>'1_Parameters'!$B$26*('3_Production_Scenarios'!B10/1.15)</f>
        <v/>
      </c>
      <c r="C10" s="1">
        <f>'1_Parameters'!$B$26*('3_Production_Scenarios'!C10/1.15)</f>
        <v/>
      </c>
      <c r="D10" s="1">
        <f>'1_Parameters'!$B$26*('3_Production_Scenarios'!D10/1.15)</f>
        <v/>
      </c>
      <c r="E10" s="1">
        <f>'2_Price_Trajectories'!B10</f>
        <v/>
      </c>
      <c r="F10" s="1">
        <f>B10*E10/1000</f>
        <v/>
      </c>
      <c r="G10" s="1">
        <f>C10*E10/1000</f>
        <v/>
      </c>
      <c r="H10" s="1">
        <f>D10*E10/1000</f>
        <v/>
      </c>
    </row>
    <row r="11">
      <c r="A11" s="1" t="n">
        <v>2034</v>
      </c>
      <c r="B11" s="1">
        <f>'1_Parameters'!$B$26*('3_Production_Scenarios'!B11/1.15)</f>
        <v/>
      </c>
      <c r="C11" s="1">
        <f>'1_Parameters'!$B$26*('3_Production_Scenarios'!C11/1.15)</f>
        <v/>
      </c>
      <c r="D11" s="1">
        <f>'1_Parameters'!$B$26*('3_Production_Scenarios'!D11/1.15)</f>
        <v/>
      </c>
      <c r="E11" s="1">
        <f>'2_Price_Trajectories'!B11</f>
        <v/>
      </c>
      <c r="F11" s="1">
        <f>B11*E11/1000</f>
        <v/>
      </c>
      <c r="G11" s="1">
        <f>C11*E11/1000</f>
        <v/>
      </c>
      <c r="H11" s="1">
        <f>D11*E11/1000</f>
        <v/>
      </c>
    </row>
    <row r="12">
      <c r="A12" s="1" t="n">
        <v>2035</v>
      </c>
      <c r="B12" s="1">
        <f>'1_Parameters'!$B$26*('3_Production_Scenarios'!B12/1.15)</f>
        <v/>
      </c>
      <c r="C12" s="1">
        <f>'1_Parameters'!$B$26*('3_Production_Scenarios'!C12/1.15)</f>
        <v/>
      </c>
      <c r="D12" s="1">
        <f>'1_Parameters'!$B$26*('3_Production_Scenarios'!D12/1.15)</f>
        <v/>
      </c>
      <c r="E12" s="1">
        <f>'2_Price_Trajectories'!B12</f>
        <v/>
      </c>
      <c r="F12" s="1">
        <f>B12*E12/1000</f>
        <v/>
      </c>
      <c r="G12" s="1">
        <f>C12*E12/1000</f>
        <v/>
      </c>
      <c r="H12" s="1">
        <f>D12*E12/1000</f>
        <v/>
      </c>
    </row>
    <row r="13">
      <c r="A13" s="1" t="n">
        <v>2036</v>
      </c>
      <c r="B13" s="1">
        <f>'1_Parameters'!$B$26*('3_Production_Scenarios'!B13/1.15)</f>
        <v/>
      </c>
      <c r="C13" s="1">
        <f>'1_Parameters'!$B$26*('3_Production_Scenarios'!C13/1.15)</f>
        <v/>
      </c>
      <c r="D13" s="1">
        <f>'1_Parameters'!$B$26*('3_Production_Scenarios'!D13/1.15)</f>
        <v/>
      </c>
      <c r="E13" s="1">
        <f>'2_Price_Trajectories'!B13</f>
        <v/>
      </c>
      <c r="F13" s="1">
        <f>B13*E13/1000</f>
        <v/>
      </c>
      <c r="G13" s="1">
        <f>C13*E13/1000</f>
        <v/>
      </c>
      <c r="H13" s="1">
        <f>D13*E13/1000</f>
        <v/>
      </c>
    </row>
    <row r="14">
      <c r="A14" s="1" t="n">
        <v>2037</v>
      </c>
      <c r="B14" s="1">
        <f>'1_Parameters'!$B$26*('3_Production_Scenarios'!B14/1.15)</f>
        <v/>
      </c>
      <c r="C14" s="1">
        <f>'1_Parameters'!$B$26*('3_Production_Scenarios'!C14/1.15)</f>
        <v/>
      </c>
      <c r="D14" s="1">
        <f>'1_Parameters'!$B$26*('3_Production_Scenarios'!D14/1.15)</f>
        <v/>
      </c>
      <c r="E14" s="1">
        <f>'2_Price_Trajectories'!B14</f>
        <v/>
      </c>
      <c r="F14" s="1">
        <f>B14*E14/1000</f>
        <v/>
      </c>
      <c r="G14" s="1">
        <f>C14*E14/1000</f>
        <v/>
      </c>
      <c r="H14" s="1">
        <f>D14*E14/1000</f>
        <v/>
      </c>
    </row>
    <row r="15">
      <c r="A15" s="1" t="n">
        <v>2038</v>
      </c>
      <c r="B15" s="1">
        <f>'1_Parameters'!$B$26*('3_Production_Scenarios'!B15/1.15)</f>
        <v/>
      </c>
      <c r="C15" s="1">
        <f>'1_Parameters'!$B$26*('3_Production_Scenarios'!C15/1.15)</f>
        <v/>
      </c>
      <c r="D15" s="1">
        <f>'1_Parameters'!$B$26*('3_Production_Scenarios'!D15/1.15)</f>
        <v/>
      </c>
      <c r="E15" s="1">
        <f>'2_Price_Trajectories'!B15</f>
        <v/>
      </c>
      <c r="F15" s="1">
        <f>B15*E15/1000</f>
        <v/>
      </c>
      <c r="G15" s="1">
        <f>C15*E15/1000</f>
        <v/>
      </c>
      <c r="H15" s="1">
        <f>D15*E15/1000</f>
        <v/>
      </c>
    </row>
    <row r="16">
      <c r="A16" s="1" t="n">
        <v>2039</v>
      </c>
      <c r="B16" s="1">
        <f>'1_Parameters'!$B$26*('3_Production_Scenarios'!B16/1.15)</f>
        <v/>
      </c>
      <c r="C16" s="1">
        <f>'1_Parameters'!$B$26*('3_Production_Scenarios'!C16/1.15)</f>
        <v/>
      </c>
      <c r="D16" s="1">
        <f>'1_Parameters'!$B$26*('3_Production_Scenarios'!D16/1.15)</f>
        <v/>
      </c>
      <c r="E16" s="1">
        <f>'2_Price_Trajectories'!B16</f>
        <v/>
      </c>
      <c r="F16" s="1">
        <f>B16*E16/1000</f>
        <v/>
      </c>
      <c r="G16" s="1">
        <f>C16*E16/1000</f>
        <v/>
      </c>
      <c r="H16" s="1">
        <f>D16*E16/1000</f>
        <v/>
      </c>
    </row>
    <row r="17">
      <c r="A17" s="1" t="n">
        <v>2040</v>
      </c>
      <c r="B17" s="1">
        <f>'1_Parameters'!$B$26*('3_Production_Scenarios'!B17/1.15)</f>
        <v/>
      </c>
      <c r="C17" s="1">
        <f>'1_Parameters'!$B$26*('3_Production_Scenarios'!C17/1.15)</f>
        <v/>
      </c>
      <c r="D17" s="1">
        <f>'1_Parameters'!$B$26*('3_Production_Scenarios'!D17/1.15)</f>
        <v/>
      </c>
      <c r="E17" s="1">
        <f>'2_Price_Trajectories'!B17</f>
        <v/>
      </c>
      <c r="F17" s="1">
        <f>B17*E17/1000</f>
        <v/>
      </c>
      <c r="G17" s="1">
        <f>C17*E17/1000</f>
        <v/>
      </c>
      <c r="H17" s="1">
        <f>D17*E17/1000</f>
        <v/>
      </c>
    </row>
    <row r="18">
      <c r="A18" s="1" t="n">
        <v>2041</v>
      </c>
      <c r="B18" s="1">
        <f>'1_Parameters'!$B$26*('3_Production_Scenarios'!B18/1.15)</f>
        <v/>
      </c>
      <c r="C18" s="1">
        <f>'1_Parameters'!$B$26*('3_Production_Scenarios'!C18/1.15)</f>
        <v/>
      </c>
      <c r="D18" s="1">
        <f>'1_Parameters'!$B$26*('3_Production_Scenarios'!D18/1.15)</f>
        <v/>
      </c>
      <c r="E18" s="1">
        <f>'2_Price_Trajectories'!B18</f>
        <v/>
      </c>
      <c r="F18" s="1">
        <f>B18*E18/1000</f>
        <v/>
      </c>
      <c r="G18" s="1">
        <f>C18*E18/1000</f>
        <v/>
      </c>
      <c r="H18" s="1">
        <f>D18*E18/1000</f>
        <v/>
      </c>
    </row>
    <row r="19">
      <c r="A19" s="1" t="n">
        <v>2042</v>
      </c>
      <c r="B19" s="1">
        <f>'1_Parameters'!$B$26*('3_Production_Scenarios'!B19/1.15)</f>
        <v/>
      </c>
      <c r="C19" s="1">
        <f>'1_Parameters'!$B$26*('3_Production_Scenarios'!C19/1.15)</f>
        <v/>
      </c>
      <c r="D19" s="1">
        <f>'1_Parameters'!$B$26*('3_Production_Scenarios'!D19/1.15)</f>
        <v/>
      </c>
      <c r="E19" s="1">
        <f>'2_Price_Trajectories'!B19</f>
        <v/>
      </c>
      <c r="F19" s="1">
        <f>B19*E19/1000</f>
        <v/>
      </c>
      <c r="G19" s="1">
        <f>C19*E19/1000</f>
        <v/>
      </c>
      <c r="H19" s="1">
        <f>D19*E19/1000</f>
        <v/>
      </c>
    </row>
    <row r="20">
      <c r="A20" s="1" t="n">
        <v>2043</v>
      </c>
      <c r="B20" s="1">
        <f>'1_Parameters'!$B$26*('3_Production_Scenarios'!B20/1.15)</f>
        <v/>
      </c>
      <c r="C20" s="1">
        <f>'1_Parameters'!$B$26*('3_Production_Scenarios'!C20/1.15)</f>
        <v/>
      </c>
      <c r="D20" s="1">
        <f>'1_Parameters'!$B$26*('3_Production_Scenarios'!D20/1.15)</f>
        <v/>
      </c>
      <c r="E20" s="1">
        <f>'2_Price_Trajectories'!B20</f>
        <v/>
      </c>
      <c r="F20" s="1">
        <f>B20*E20/1000</f>
        <v/>
      </c>
      <c r="G20" s="1">
        <f>C20*E20/1000</f>
        <v/>
      </c>
      <c r="H20" s="1">
        <f>D20*E20/1000</f>
        <v/>
      </c>
    </row>
    <row r="21">
      <c r="A21" s="1" t="n">
        <v>2044</v>
      </c>
      <c r="B21" s="1">
        <f>'1_Parameters'!$B$26*('3_Production_Scenarios'!B21/1.15)</f>
        <v/>
      </c>
      <c r="C21" s="1">
        <f>'1_Parameters'!$B$26*('3_Production_Scenarios'!C21/1.15)</f>
        <v/>
      </c>
      <c r="D21" s="1">
        <f>'1_Parameters'!$B$26*('3_Production_Scenarios'!D21/1.15)</f>
        <v/>
      </c>
      <c r="E21" s="1">
        <f>'2_Price_Trajectories'!B21</f>
        <v/>
      </c>
      <c r="F21" s="1">
        <f>B21*E21/1000</f>
        <v/>
      </c>
      <c r="G21" s="1">
        <f>C21*E21/1000</f>
        <v/>
      </c>
      <c r="H21" s="1">
        <f>D21*E21/1000</f>
        <v/>
      </c>
    </row>
    <row r="22">
      <c r="A22" s="1" t="n">
        <v>2045</v>
      </c>
      <c r="B22" s="1">
        <f>'1_Parameters'!$B$26*('3_Production_Scenarios'!B22/1.15)</f>
        <v/>
      </c>
      <c r="C22" s="1">
        <f>'1_Parameters'!$B$26*('3_Production_Scenarios'!C22/1.15)</f>
        <v/>
      </c>
      <c r="D22" s="1">
        <f>'1_Parameters'!$B$26*('3_Production_Scenarios'!D22/1.15)</f>
        <v/>
      </c>
      <c r="E22" s="1">
        <f>'2_Price_Trajectories'!B22</f>
        <v/>
      </c>
      <c r="F22" s="1">
        <f>B22*E22/1000</f>
        <v/>
      </c>
      <c r="G22" s="1">
        <f>C22*E22/1000</f>
        <v/>
      </c>
      <c r="H22" s="1">
        <f>D22*E22/1000</f>
        <v/>
      </c>
    </row>
    <row r="23">
      <c r="A23" s="1" t="n">
        <v>2046</v>
      </c>
      <c r="B23" s="1">
        <f>'1_Parameters'!$B$26*('3_Production_Scenarios'!B23/1.15)</f>
        <v/>
      </c>
      <c r="C23" s="1">
        <f>'1_Parameters'!$B$26*('3_Production_Scenarios'!C23/1.15)</f>
        <v/>
      </c>
      <c r="D23" s="1">
        <f>'1_Parameters'!$B$26*('3_Production_Scenarios'!D23/1.15)</f>
        <v/>
      </c>
      <c r="E23" s="1">
        <f>'2_Price_Trajectories'!B23</f>
        <v/>
      </c>
      <c r="F23" s="1">
        <f>B23*E23/1000</f>
        <v/>
      </c>
      <c r="G23" s="1">
        <f>C23*E23/1000</f>
        <v/>
      </c>
      <c r="H23" s="1">
        <f>D23*E23/1000</f>
        <v/>
      </c>
    </row>
    <row r="24">
      <c r="A24" s="1" t="n">
        <v>2047</v>
      </c>
      <c r="B24" s="1">
        <f>'1_Parameters'!$B$26*('3_Production_Scenarios'!B24/1.15)</f>
        <v/>
      </c>
      <c r="C24" s="1">
        <f>'1_Parameters'!$B$26*('3_Production_Scenarios'!C24/1.15)</f>
        <v/>
      </c>
      <c r="D24" s="1">
        <f>'1_Parameters'!$B$26*('3_Production_Scenarios'!D24/1.15)</f>
        <v/>
      </c>
      <c r="E24" s="1">
        <f>'2_Price_Trajectories'!B24</f>
        <v/>
      </c>
      <c r="F24" s="1">
        <f>B24*E24/1000</f>
        <v/>
      </c>
      <c r="G24" s="1">
        <f>C24*E24/1000</f>
        <v/>
      </c>
      <c r="H24" s="1">
        <f>D24*E24/1000</f>
        <v/>
      </c>
    </row>
    <row r="25">
      <c r="A25" s="1" t="n">
        <v>2048</v>
      </c>
      <c r="B25" s="1">
        <f>'1_Parameters'!$B$26*('3_Production_Scenarios'!B25/1.15)</f>
        <v/>
      </c>
      <c r="C25" s="1">
        <f>'1_Parameters'!$B$26*('3_Production_Scenarios'!C25/1.15)</f>
        <v/>
      </c>
      <c r="D25" s="1">
        <f>'1_Parameters'!$B$26*('3_Production_Scenarios'!D25/1.15)</f>
        <v/>
      </c>
      <c r="E25" s="1">
        <f>'2_Price_Trajectories'!B25</f>
        <v/>
      </c>
      <c r="F25" s="1">
        <f>B25*E25/1000</f>
        <v/>
      </c>
      <c r="G25" s="1">
        <f>C25*E25/1000</f>
        <v/>
      </c>
      <c r="H25" s="1">
        <f>D25*E25/1000</f>
        <v/>
      </c>
    </row>
    <row r="26">
      <c r="A26" s="1" t="n">
        <v>2049</v>
      </c>
      <c r="B26" s="1">
        <f>'1_Parameters'!$B$26*('3_Production_Scenarios'!B26/1.15)</f>
        <v/>
      </c>
      <c r="C26" s="1">
        <f>'1_Parameters'!$B$26*('3_Production_Scenarios'!C26/1.15)</f>
        <v/>
      </c>
      <c r="D26" s="1">
        <f>'1_Parameters'!$B$26*('3_Production_Scenarios'!D26/1.15)</f>
        <v/>
      </c>
      <c r="E26" s="1">
        <f>'2_Price_Trajectories'!B26</f>
        <v/>
      </c>
      <c r="F26" s="1">
        <f>B26*E26/1000</f>
        <v/>
      </c>
      <c r="G26" s="1">
        <f>C26*E26/1000</f>
        <v/>
      </c>
      <c r="H26" s="1">
        <f>D26*E26/1000</f>
        <v/>
      </c>
    </row>
    <row r="27">
      <c r="A27" s="1" t="n">
        <v>2050</v>
      </c>
      <c r="B27" s="1">
        <f>'1_Parameters'!$B$26*('3_Production_Scenarios'!B27/1.15)</f>
        <v/>
      </c>
      <c r="C27" s="1">
        <f>'1_Parameters'!$B$26*('3_Production_Scenarios'!C27/1.15)</f>
        <v/>
      </c>
      <c r="D27" s="1">
        <f>'1_Parameters'!$B$26*('3_Production_Scenarios'!D27/1.15)</f>
        <v/>
      </c>
      <c r="E27" s="1">
        <f>'2_Price_Trajectories'!B27</f>
        <v/>
      </c>
      <c r="F27" s="1">
        <f>B27*E27/1000</f>
        <v/>
      </c>
      <c r="G27" s="1">
        <f>C27*E27/1000</f>
        <v/>
      </c>
      <c r="H27" s="1">
        <f>D27*E27/1000</f>
        <v/>
      </c>
    </row>
    <row r="28">
      <c r="A28" s="5" t="inlineStr">
        <is>
          <t>CUMULATIVE (2030-2050)</t>
        </is>
      </c>
      <c r="F28" s="5">
        <f>SUM(F7:F27)</f>
        <v/>
      </c>
      <c r="G28" s="5">
        <f>SUM(G7:G27)</f>
        <v/>
      </c>
      <c r="H28" s="5">
        <f>SUM(H7:H27)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Year</t>
        </is>
      </c>
      <c r="B1" s="4" t="inlineStr">
        <is>
          <t>Shaheen Elec (TWh)</t>
        </is>
      </c>
      <c r="C1" s="4" t="inlineStr">
        <is>
          <t>구조조정25% Elec (TWh)</t>
        </is>
      </c>
      <c r="D1" s="4" t="inlineStr">
        <is>
          <t>구조조정40% Elec (TWh)</t>
        </is>
      </c>
      <c r="E1" s="4" t="inlineStr">
        <is>
          <t>RE Price ($/MWh)</t>
        </is>
      </c>
      <c r="F1" s="4" t="inlineStr">
        <is>
          <t>Shaheen Elec Cost ($B)</t>
        </is>
      </c>
      <c r="G1" s="4" t="inlineStr">
        <is>
          <t>구조조정25% Cost ($B)</t>
        </is>
      </c>
      <c r="H1" s="4" t="inlineStr">
        <is>
          <t>구조조정40% Cost ($B)</t>
        </is>
      </c>
    </row>
    <row r="2">
      <c r="A2" s="1" t="n">
        <v>2025</v>
      </c>
      <c r="B2" s="1">
        <f>'1_Parameters'!$B$27*('3_Production_Scenarios'!B2/1.15)</f>
        <v/>
      </c>
      <c r="C2" s="1">
        <f>'1_Parameters'!$B$27*('3_Production_Scenarios'!C2/1.15)</f>
        <v/>
      </c>
      <c r="D2" s="1">
        <f>'1_Parameters'!$B$27*('3_Production_Scenarios'!D2/1.15)</f>
        <v/>
      </c>
      <c r="E2" s="1">
        <f>'2_Price_Trajectories'!C2</f>
        <v/>
      </c>
      <c r="F2" s="1">
        <f>B2*E2/1000</f>
        <v/>
      </c>
      <c r="G2" s="1">
        <f>C2*E2/1000</f>
        <v/>
      </c>
      <c r="H2" s="1">
        <f>D2*E2/1000</f>
        <v/>
      </c>
    </row>
    <row r="3">
      <c r="A3" s="1" t="n">
        <v>2026</v>
      </c>
      <c r="B3" s="1">
        <f>'1_Parameters'!$B$27*('3_Production_Scenarios'!B3/1.15)</f>
        <v/>
      </c>
      <c r="C3" s="1">
        <f>'1_Parameters'!$B$27*('3_Production_Scenarios'!C3/1.15)</f>
        <v/>
      </c>
      <c r="D3" s="1">
        <f>'1_Parameters'!$B$27*('3_Production_Scenarios'!D3/1.15)</f>
        <v/>
      </c>
      <c r="E3" s="1">
        <f>'2_Price_Trajectories'!C3</f>
        <v/>
      </c>
      <c r="F3" s="1">
        <f>B3*E3/1000</f>
        <v/>
      </c>
      <c r="G3" s="1">
        <f>C3*E3/1000</f>
        <v/>
      </c>
      <c r="H3" s="1">
        <f>D3*E3/1000</f>
        <v/>
      </c>
    </row>
    <row r="4">
      <c r="A4" s="1" t="n">
        <v>2027</v>
      </c>
      <c r="B4" s="1">
        <f>'1_Parameters'!$B$27*('3_Production_Scenarios'!B4/1.15)</f>
        <v/>
      </c>
      <c r="C4" s="1">
        <f>'1_Parameters'!$B$27*('3_Production_Scenarios'!C4/1.15)</f>
        <v/>
      </c>
      <c r="D4" s="1">
        <f>'1_Parameters'!$B$27*('3_Production_Scenarios'!D4/1.15)</f>
        <v/>
      </c>
      <c r="E4" s="1">
        <f>'2_Price_Trajectories'!C4</f>
        <v/>
      </c>
      <c r="F4" s="1">
        <f>B4*E4/1000</f>
        <v/>
      </c>
      <c r="G4" s="1">
        <f>C4*E4/1000</f>
        <v/>
      </c>
      <c r="H4" s="1">
        <f>D4*E4/1000</f>
        <v/>
      </c>
    </row>
    <row r="5">
      <c r="A5" s="1" t="n">
        <v>2028</v>
      </c>
      <c r="B5" s="1">
        <f>'1_Parameters'!$B$27*('3_Production_Scenarios'!B5/1.15)</f>
        <v/>
      </c>
      <c r="C5" s="1">
        <f>'1_Parameters'!$B$27*('3_Production_Scenarios'!C5/1.15)</f>
        <v/>
      </c>
      <c r="D5" s="1">
        <f>'1_Parameters'!$B$27*('3_Production_Scenarios'!D5/1.15)</f>
        <v/>
      </c>
      <c r="E5" s="1">
        <f>'2_Price_Trajectories'!C5</f>
        <v/>
      </c>
      <c r="F5" s="1">
        <f>B5*E5/1000</f>
        <v/>
      </c>
      <c r="G5" s="1">
        <f>C5*E5/1000</f>
        <v/>
      </c>
      <c r="H5" s="1">
        <f>D5*E5/1000</f>
        <v/>
      </c>
    </row>
    <row r="6">
      <c r="A6" s="1" t="n">
        <v>2029</v>
      </c>
      <c r="B6" s="1">
        <f>'1_Parameters'!$B$27*('3_Production_Scenarios'!B6/1.15)</f>
        <v/>
      </c>
      <c r="C6" s="1">
        <f>'1_Parameters'!$B$27*('3_Production_Scenarios'!C6/1.15)</f>
        <v/>
      </c>
      <c r="D6" s="1">
        <f>'1_Parameters'!$B$27*('3_Production_Scenarios'!D6/1.15)</f>
        <v/>
      </c>
      <c r="E6" s="1">
        <f>'2_Price_Trajectories'!C6</f>
        <v/>
      </c>
      <c r="F6" s="1">
        <f>B6*E6/1000</f>
        <v/>
      </c>
      <c r="G6" s="1">
        <f>C6*E6/1000</f>
        <v/>
      </c>
      <c r="H6" s="1">
        <f>D6*E6/1000</f>
        <v/>
      </c>
    </row>
    <row r="7">
      <c r="A7" s="1" t="n">
        <v>2030</v>
      </c>
      <c r="B7" s="1">
        <f>'1_Parameters'!$B$27*('3_Production_Scenarios'!B7/1.15)</f>
        <v/>
      </c>
      <c r="C7" s="1">
        <f>'1_Parameters'!$B$27*('3_Production_Scenarios'!C7/1.15)</f>
        <v/>
      </c>
      <c r="D7" s="1">
        <f>'1_Parameters'!$B$27*('3_Production_Scenarios'!D7/1.15)</f>
        <v/>
      </c>
      <c r="E7" s="1">
        <f>'2_Price_Trajectories'!C7</f>
        <v/>
      </c>
      <c r="F7" s="1">
        <f>B7*E7/1000</f>
        <v/>
      </c>
      <c r="G7" s="1">
        <f>C7*E7/1000</f>
        <v/>
      </c>
      <c r="H7" s="1">
        <f>D7*E7/1000</f>
        <v/>
      </c>
    </row>
    <row r="8">
      <c r="A8" s="1" t="n">
        <v>2031</v>
      </c>
      <c r="B8" s="1">
        <f>'1_Parameters'!$B$27*('3_Production_Scenarios'!B8/1.15)</f>
        <v/>
      </c>
      <c r="C8" s="1">
        <f>'1_Parameters'!$B$27*('3_Production_Scenarios'!C8/1.15)</f>
        <v/>
      </c>
      <c r="D8" s="1">
        <f>'1_Parameters'!$B$27*('3_Production_Scenarios'!D8/1.15)</f>
        <v/>
      </c>
      <c r="E8" s="1">
        <f>'2_Price_Trajectories'!C8</f>
        <v/>
      </c>
      <c r="F8" s="1">
        <f>B8*E8/1000</f>
        <v/>
      </c>
      <c r="G8" s="1">
        <f>C8*E8/1000</f>
        <v/>
      </c>
      <c r="H8" s="1">
        <f>D8*E8/1000</f>
        <v/>
      </c>
    </row>
    <row r="9">
      <c r="A9" s="1" t="n">
        <v>2032</v>
      </c>
      <c r="B9" s="1">
        <f>'1_Parameters'!$B$27*('3_Production_Scenarios'!B9/1.15)</f>
        <v/>
      </c>
      <c r="C9" s="1">
        <f>'1_Parameters'!$B$27*('3_Production_Scenarios'!C9/1.15)</f>
        <v/>
      </c>
      <c r="D9" s="1">
        <f>'1_Parameters'!$B$27*('3_Production_Scenarios'!D9/1.15)</f>
        <v/>
      </c>
      <c r="E9" s="1">
        <f>'2_Price_Trajectories'!C9</f>
        <v/>
      </c>
      <c r="F9" s="1">
        <f>B9*E9/1000</f>
        <v/>
      </c>
      <c r="G9" s="1">
        <f>C9*E9/1000</f>
        <v/>
      </c>
      <c r="H9" s="1">
        <f>D9*E9/1000</f>
        <v/>
      </c>
    </row>
    <row r="10">
      <c r="A10" s="1" t="n">
        <v>2033</v>
      </c>
      <c r="B10" s="1">
        <f>'1_Parameters'!$B$27*('3_Production_Scenarios'!B10/1.15)</f>
        <v/>
      </c>
      <c r="C10" s="1">
        <f>'1_Parameters'!$B$27*('3_Production_Scenarios'!C10/1.15)</f>
        <v/>
      </c>
      <c r="D10" s="1">
        <f>'1_Parameters'!$B$27*('3_Production_Scenarios'!D10/1.15)</f>
        <v/>
      </c>
      <c r="E10" s="1">
        <f>'2_Price_Trajectories'!C10</f>
        <v/>
      </c>
      <c r="F10" s="1">
        <f>B10*E10/1000</f>
        <v/>
      </c>
      <c r="G10" s="1">
        <f>C10*E10/1000</f>
        <v/>
      </c>
      <c r="H10" s="1">
        <f>D10*E10/1000</f>
        <v/>
      </c>
    </row>
    <row r="11">
      <c r="A11" s="1" t="n">
        <v>2034</v>
      </c>
      <c r="B11" s="1">
        <f>'1_Parameters'!$B$27*('3_Production_Scenarios'!B11/1.15)</f>
        <v/>
      </c>
      <c r="C11" s="1">
        <f>'1_Parameters'!$B$27*('3_Production_Scenarios'!C11/1.15)</f>
        <v/>
      </c>
      <c r="D11" s="1">
        <f>'1_Parameters'!$B$27*('3_Production_Scenarios'!D11/1.15)</f>
        <v/>
      </c>
      <c r="E11" s="1">
        <f>'2_Price_Trajectories'!C11</f>
        <v/>
      </c>
      <c r="F11" s="1">
        <f>B11*E11/1000</f>
        <v/>
      </c>
      <c r="G11" s="1">
        <f>C11*E11/1000</f>
        <v/>
      </c>
      <c r="H11" s="1">
        <f>D11*E11/1000</f>
        <v/>
      </c>
    </row>
    <row r="12">
      <c r="A12" s="1" t="n">
        <v>2035</v>
      </c>
      <c r="B12" s="1">
        <f>'1_Parameters'!$B$27*('3_Production_Scenarios'!B12/1.15)</f>
        <v/>
      </c>
      <c r="C12" s="1">
        <f>'1_Parameters'!$B$27*('3_Production_Scenarios'!C12/1.15)</f>
        <v/>
      </c>
      <c r="D12" s="1">
        <f>'1_Parameters'!$B$27*('3_Production_Scenarios'!D12/1.15)</f>
        <v/>
      </c>
      <c r="E12" s="1">
        <f>'2_Price_Trajectories'!C12</f>
        <v/>
      </c>
      <c r="F12" s="1">
        <f>B12*E12/1000</f>
        <v/>
      </c>
      <c r="G12" s="1">
        <f>C12*E12/1000</f>
        <v/>
      </c>
      <c r="H12" s="1">
        <f>D12*E12/1000</f>
        <v/>
      </c>
    </row>
    <row r="13">
      <c r="A13" s="1" t="n">
        <v>2036</v>
      </c>
      <c r="B13" s="1">
        <f>'1_Parameters'!$B$27*('3_Production_Scenarios'!B13/1.15)</f>
        <v/>
      </c>
      <c r="C13" s="1">
        <f>'1_Parameters'!$B$27*('3_Production_Scenarios'!C13/1.15)</f>
        <v/>
      </c>
      <c r="D13" s="1">
        <f>'1_Parameters'!$B$27*('3_Production_Scenarios'!D13/1.15)</f>
        <v/>
      </c>
      <c r="E13" s="1">
        <f>'2_Price_Trajectories'!C13</f>
        <v/>
      </c>
      <c r="F13" s="1">
        <f>B13*E13/1000</f>
        <v/>
      </c>
      <c r="G13" s="1">
        <f>C13*E13/1000</f>
        <v/>
      </c>
      <c r="H13" s="1">
        <f>D13*E13/1000</f>
        <v/>
      </c>
    </row>
    <row r="14">
      <c r="A14" s="1" t="n">
        <v>2037</v>
      </c>
      <c r="B14" s="1">
        <f>'1_Parameters'!$B$27*('3_Production_Scenarios'!B14/1.15)</f>
        <v/>
      </c>
      <c r="C14" s="1">
        <f>'1_Parameters'!$B$27*('3_Production_Scenarios'!C14/1.15)</f>
        <v/>
      </c>
      <c r="D14" s="1">
        <f>'1_Parameters'!$B$27*('3_Production_Scenarios'!D14/1.15)</f>
        <v/>
      </c>
      <c r="E14" s="1">
        <f>'2_Price_Trajectories'!C14</f>
        <v/>
      </c>
      <c r="F14" s="1">
        <f>B14*E14/1000</f>
        <v/>
      </c>
      <c r="G14" s="1">
        <f>C14*E14/1000</f>
        <v/>
      </c>
      <c r="H14" s="1">
        <f>D14*E14/1000</f>
        <v/>
      </c>
    </row>
    <row r="15">
      <c r="A15" s="1" t="n">
        <v>2038</v>
      </c>
      <c r="B15" s="1">
        <f>'1_Parameters'!$B$27*('3_Production_Scenarios'!B15/1.15)</f>
        <v/>
      </c>
      <c r="C15" s="1">
        <f>'1_Parameters'!$B$27*('3_Production_Scenarios'!C15/1.15)</f>
        <v/>
      </c>
      <c r="D15" s="1">
        <f>'1_Parameters'!$B$27*('3_Production_Scenarios'!D15/1.15)</f>
        <v/>
      </c>
      <c r="E15" s="1">
        <f>'2_Price_Trajectories'!C15</f>
        <v/>
      </c>
      <c r="F15" s="1">
        <f>B15*E15/1000</f>
        <v/>
      </c>
      <c r="G15" s="1">
        <f>C15*E15/1000</f>
        <v/>
      </c>
      <c r="H15" s="1">
        <f>D15*E15/1000</f>
        <v/>
      </c>
    </row>
    <row r="16">
      <c r="A16" s="1" t="n">
        <v>2039</v>
      </c>
      <c r="B16" s="1">
        <f>'1_Parameters'!$B$27*('3_Production_Scenarios'!B16/1.15)</f>
        <v/>
      </c>
      <c r="C16" s="1">
        <f>'1_Parameters'!$B$27*('3_Production_Scenarios'!C16/1.15)</f>
        <v/>
      </c>
      <c r="D16" s="1">
        <f>'1_Parameters'!$B$27*('3_Production_Scenarios'!D16/1.15)</f>
        <v/>
      </c>
      <c r="E16" s="1">
        <f>'2_Price_Trajectories'!C16</f>
        <v/>
      </c>
      <c r="F16" s="1">
        <f>B16*E16/1000</f>
        <v/>
      </c>
      <c r="G16" s="1">
        <f>C16*E16/1000</f>
        <v/>
      </c>
      <c r="H16" s="1">
        <f>D16*E16/1000</f>
        <v/>
      </c>
    </row>
    <row r="17">
      <c r="A17" s="1" t="n">
        <v>2040</v>
      </c>
      <c r="B17" s="1">
        <f>'1_Parameters'!$B$27*('3_Production_Scenarios'!B17/1.15)</f>
        <v/>
      </c>
      <c r="C17" s="1">
        <f>'1_Parameters'!$B$27*('3_Production_Scenarios'!C17/1.15)</f>
        <v/>
      </c>
      <c r="D17" s="1">
        <f>'1_Parameters'!$B$27*('3_Production_Scenarios'!D17/1.15)</f>
        <v/>
      </c>
      <c r="E17" s="1">
        <f>'2_Price_Trajectories'!C17</f>
        <v/>
      </c>
      <c r="F17" s="1">
        <f>B17*E17/1000</f>
        <v/>
      </c>
      <c r="G17" s="1">
        <f>C17*E17/1000</f>
        <v/>
      </c>
      <c r="H17" s="1">
        <f>D17*E17/1000</f>
        <v/>
      </c>
    </row>
    <row r="18">
      <c r="A18" s="1" t="n">
        <v>2041</v>
      </c>
      <c r="B18" s="1">
        <f>'1_Parameters'!$B$27*('3_Production_Scenarios'!B18/1.15)</f>
        <v/>
      </c>
      <c r="C18" s="1">
        <f>'1_Parameters'!$B$27*('3_Production_Scenarios'!C18/1.15)</f>
        <v/>
      </c>
      <c r="D18" s="1">
        <f>'1_Parameters'!$B$27*('3_Production_Scenarios'!D18/1.15)</f>
        <v/>
      </c>
      <c r="E18" s="1">
        <f>'2_Price_Trajectories'!C18</f>
        <v/>
      </c>
      <c r="F18" s="1">
        <f>B18*E18/1000</f>
        <v/>
      </c>
      <c r="G18" s="1">
        <f>C18*E18/1000</f>
        <v/>
      </c>
      <c r="H18" s="1">
        <f>D18*E18/1000</f>
        <v/>
      </c>
    </row>
    <row r="19">
      <c r="A19" s="1" t="n">
        <v>2042</v>
      </c>
      <c r="B19" s="1">
        <f>'1_Parameters'!$B$27*('3_Production_Scenarios'!B19/1.15)</f>
        <v/>
      </c>
      <c r="C19" s="1">
        <f>'1_Parameters'!$B$27*('3_Production_Scenarios'!C19/1.15)</f>
        <v/>
      </c>
      <c r="D19" s="1">
        <f>'1_Parameters'!$B$27*('3_Production_Scenarios'!D19/1.15)</f>
        <v/>
      </c>
      <c r="E19" s="1">
        <f>'2_Price_Trajectories'!C19</f>
        <v/>
      </c>
      <c r="F19" s="1">
        <f>B19*E19/1000</f>
        <v/>
      </c>
      <c r="G19" s="1">
        <f>C19*E19/1000</f>
        <v/>
      </c>
      <c r="H19" s="1">
        <f>D19*E19/1000</f>
        <v/>
      </c>
    </row>
    <row r="20">
      <c r="A20" s="1" t="n">
        <v>2043</v>
      </c>
      <c r="B20" s="1">
        <f>'1_Parameters'!$B$27*('3_Production_Scenarios'!B20/1.15)</f>
        <v/>
      </c>
      <c r="C20" s="1">
        <f>'1_Parameters'!$B$27*('3_Production_Scenarios'!C20/1.15)</f>
        <v/>
      </c>
      <c r="D20" s="1">
        <f>'1_Parameters'!$B$27*('3_Production_Scenarios'!D20/1.15)</f>
        <v/>
      </c>
      <c r="E20" s="1">
        <f>'2_Price_Trajectories'!C20</f>
        <v/>
      </c>
      <c r="F20" s="1">
        <f>B20*E20/1000</f>
        <v/>
      </c>
      <c r="G20" s="1">
        <f>C20*E20/1000</f>
        <v/>
      </c>
      <c r="H20" s="1">
        <f>D20*E20/1000</f>
        <v/>
      </c>
    </row>
    <row r="21">
      <c r="A21" s="1" t="n">
        <v>2044</v>
      </c>
      <c r="B21" s="1">
        <f>'1_Parameters'!$B$27*('3_Production_Scenarios'!B21/1.15)</f>
        <v/>
      </c>
      <c r="C21" s="1">
        <f>'1_Parameters'!$B$27*('3_Production_Scenarios'!C21/1.15)</f>
        <v/>
      </c>
      <c r="D21" s="1">
        <f>'1_Parameters'!$B$27*('3_Production_Scenarios'!D21/1.15)</f>
        <v/>
      </c>
      <c r="E21" s="1">
        <f>'2_Price_Trajectories'!C21</f>
        <v/>
      </c>
      <c r="F21" s="1">
        <f>B21*E21/1000</f>
        <v/>
      </c>
      <c r="G21" s="1">
        <f>C21*E21/1000</f>
        <v/>
      </c>
      <c r="H21" s="1">
        <f>D21*E21/1000</f>
        <v/>
      </c>
    </row>
    <row r="22">
      <c r="A22" s="1" t="n">
        <v>2045</v>
      </c>
      <c r="B22" s="1">
        <f>'1_Parameters'!$B$27*('3_Production_Scenarios'!B22/1.15)</f>
        <v/>
      </c>
      <c r="C22" s="1">
        <f>'1_Parameters'!$B$27*('3_Production_Scenarios'!C22/1.15)</f>
        <v/>
      </c>
      <c r="D22" s="1">
        <f>'1_Parameters'!$B$27*('3_Production_Scenarios'!D22/1.15)</f>
        <v/>
      </c>
      <c r="E22" s="1">
        <f>'2_Price_Trajectories'!C22</f>
        <v/>
      </c>
      <c r="F22" s="1">
        <f>B22*E22/1000</f>
        <v/>
      </c>
      <c r="G22" s="1">
        <f>C22*E22/1000</f>
        <v/>
      </c>
      <c r="H22" s="1">
        <f>D22*E22/1000</f>
        <v/>
      </c>
    </row>
    <row r="23">
      <c r="A23" s="1" t="n">
        <v>2046</v>
      </c>
      <c r="B23" s="1">
        <f>'1_Parameters'!$B$27*('3_Production_Scenarios'!B23/1.15)</f>
        <v/>
      </c>
      <c r="C23" s="1">
        <f>'1_Parameters'!$B$27*('3_Production_Scenarios'!C23/1.15)</f>
        <v/>
      </c>
      <c r="D23" s="1">
        <f>'1_Parameters'!$B$27*('3_Production_Scenarios'!D23/1.15)</f>
        <v/>
      </c>
      <c r="E23" s="1">
        <f>'2_Price_Trajectories'!C23</f>
        <v/>
      </c>
      <c r="F23" s="1">
        <f>B23*E23/1000</f>
        <v/>
      </c>
      <c r="G23" s="1">
        <f>C23*E23/1000</f>
        <v/>
      </c>
      <c r="H23" s="1">
        <f>D23*E23/1000</f>
        <v/>
      </c>
    </row>
    <row r="24">
      <c r="A24" s="1" t="n">
        <v>2047</v>
      </c>
      <c r="B24" s="1">
        <f>'1_Parameters'!$B$27*('3_Production_Scenarios'!B24/1.15)</f>
        <v/>
      </c>
      <c r="C24" s="1">
        <f>'1_Parameters'!$B$27*('3_Production_Scenarios'!C24/1.15)</f>
        <v/>
      </c>
      <c r="D24" s="1">
        <f>'1_Parameters'!$B$27*('3_Production_Scenarios'!D24/1.15)</f>
        <v/>
      </c>
      <c r="E24" s="1">
        <f>'2_Price_Trajectories'!C24</f>
        <v/>
      </c>
      <c r="F24" s="1">
        <f>B24*E24/1000</f>
        <v/>
      </c>
      <c r="G24" s="1">
        <f>C24*E24/1000</f>
        <v/>
      </c>
      <c r="H24" s="1">
        <f>D24*E24/1000</f>
        <v/>
      </c>
    </row>
    <row r="25">
      <c r="A25" s="1" t="n">
        <v>2048</v>
      </c>
      <c r="B25" s="1">
        <f>'1_Parameters'!$B$27*('3_Production_Scenarios'!B25/1.15)</f>
        <v/>
      </c>
      <c r="C25" s="1">
        <f>'1_Parameters'!$B$27*('3_Production_Scenarios'!C25/1.15)</f>
        <v/>
      </c>
      <c r="D25" s="1">
        <f>'1_Parameters'!$B$27*('3_Production_Scenarios'!D25/1.15)</f>
        <v/>
      </c>
      <c r="E25" s="1">
        <f>'2_Price_Trajectories'!C25</f>
        <v/>
      </c>
      <c r="F25" s="1">
        <f>B25*E25/1000</f>
        <v/>
      </c>
      <c r="G25" s="1">
        <f>C25*E25/1000</f>
        <v/>
      </c>
      <c r="H25" s="1">
        <f>D25*E25/1000</f>
        <v/>
      </c>
    </row>
    <row r="26">
      <c r="A26" s="1" t="n">
        <v>2049</v>
      </c>
      <c r="B26" s="1">
        <f>'1_Parameters'!$B$27*('3_Production_Scenarios'!B26/1.15)</f>
        <v/>
      </c>
      <c r="C26" s="1">
        <f>'1_Parameters'!$B$27*('3_Production_Scenarios'!C26/1.15)</f>
        <v/>
      </c>
      <c r="D26" s="1">
        <f>'1_Parameters'!$B$27*('3_Production_Scenarios'!D26/1.15)</f>
        <v/>
      </c>
      <c r="E26" s="1">
        <f>'2_Price_Trajectories'!C26</f>
        <v/>
      </c>
      <c r="F26" s="1">
        <f>B26*E26/1000</f>
        <v/>
      </c>
      <c r="G26" s="1">
        <f>C26*E26/1000</f>
        <v/>
      </c>
      <c r="H26" s="1">
        <f>D26*E26/1000</f>
        <v/>
      </c>
    </row>
    <row r="27">
      <c r="A27" s="1" t="n">
        <v>2050</v>
      </c>
      <c r="B27" s="1">
        <f>'1_Parameters'!$B$27*('3_Production_Scenarios'!B27/1.15)</f>
        <v/>
      </c>
      <c r="C27" s="1">
        <f>'1_Parameters'!$B$27*('3_Production_Scenarios'!C27/1.15)</f>
        <v/>
      </c>
      <c r="D27" s="1">
        <f>'1_Parameters'!$B$27*('3_Production_Scenarios'!D27/1.15)</f>
        <v/>
      </c>
      <c r="E27" s="1">
        <f>'2_Price_Trajectories'!C27</f>
        <v/>
      </c>
      <c r="F27" s="1">
        <f>B27*E27/1000</f>
        <v/>
      </c>
      <c r="G27" s="1">
        <f>C27*E27/1000</f>
        <v/>
      </c>
      <c r="H27" s="1">
        <f>D27*E27/1000</f>
        <v/>
      </c>
    </row>
    <row r="28">
      <c r="A28" s="5" t="inlineStr">
        <is>
          <t>CUMULATIVE (2030-2050)</t>
        </is>
      </c>
      <c r="F28" s="5">
        <f>SUM(F7:F27)</f>
        <v/>
      </c>
      <c r="G28" s="5">
        <f>SUM(G7:G27)</f>
        <v/>
      </c>
      <c r="H28" s="5">
        <f>SUM(H7:H27)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CAPEX Analysis for NCC Decarbonization</t>
        </is>
      </c>
      <c r="B1" s="1" t="inlineStr"/>
      <c r="C1" s="1" t="inlineStr"/>
      <c r="D1" s="1" t="inlineStr"/>
      <c r="E1" s="1" t="inlineStr"/>
    </row>
    <row r="2">
      <c r="A2" s="1" t="inlineStr"/>
      <c r="B2" s="1" t="inlineStr"/>
      <c r="C2" s="1" t="inlineStr"/>
      <c r="D2" s="1" t="inlineStr"/>
      <c r="E2" s="1" t="inlineStr"/>
    </row>
    <row r="3">
      <c r="A3" s="2">
        <f>== NCC-H2 CAPEX ===</f>
        <v/>
      </c>
      <c r="B3" s="1" t="inlineStr"/>
      <c r="C3" s="1" t="inlineStr"/>
      <c r="D3" s="1" t="inlineStr"/>
      <c r="E3" s="1" t="inlineStr"/>
    </row>
    <row r="4">
      <c r="A4" s="4" t="inlineStr">
        <is>
          <t>Year</t>
        </is>
      </c>
      <c r="B4" s="4" t="inlineStr">
        <is>
          <t>CAPEX ($/t-C2H4/yr)</t>
        </is>
      </c>
      <c r="C4" s="4" t="inlineStr">
        <is>
          <t>Shaheen Capacity (kt)</t>
        </is>
      </c>
      <c r="D4" s="4" t="inlineStr">
        <is>
          <t>Shaheen CAPEX ($B)</t>
        </is>
      </c>
      <c r="E4" s="4" t="inlineStr">
        <is>
          <t>Notes</t>
        </is>
      </c>
    </row>
    <row r="5">
      <c r="A5" s="1" t="n">
        <v>2030</v>
      </c>
      <c r="B5" s="1">
        <f>'1_Parameters'!B10</f>
        <v/>
      </c>
      <c r="C5" s="1">
        <f>'3_Production_Scenarios'!E7</f>
        <v/>
      </c>
      <c r="D5" s="1">
        <f>C5*B5/1000000</f>
        <v/>
      </c>
      <c r="E5" s="1" t="inlineStr">
        <is>
          <t>First year available</t>
        </is>
      </c>
    </row>
    <row r="6">
      <c r="A6" s="1" t="n">
        <v>2040</v>
      </c>
      <c r="B6" s="1">
        <f>'1_Parameters'!B11</f>
        <v/>
      </c>
      <c r="C6" s="1">
        <f>'3_Production_Scenarios'!E17</f>
        <v/>
      </c>
      <c r="D6" s="1">
        <f>C6*B6/1000000</f>
        <v/>
      </c>
      <c r="E6" s="1" t="inlineStr">
        <is>
          <t>Mid-term</t>
        </is>
      </c>
    </row>
    <row r="7">
      <c r="A7" s="1" t="n">
        <v>2050</v>
      </c>
      <c r="B7" s="1">
        <f>'1_Parameters'!B12</f>
        <v/>
      </c>
      <c r="C7" s="1">
        <f>'3_Production_Scenarios'!E27</f>
        <v/>
      </c>
      <c r="D7" s="1">
        <f>C7*B7/1000000</f>
        <v/>
      </c>
      <c r="E7" s="1" t="inlineStr">
        <is>
          <t>End year</t>
        </is>
      </c>
    </row>
    <row r="8">
      <c r="A8" s="1" t="inlineStr"/>
      <c r="B8" s="1" t="inlineStr"/>
      <c r="C8" s="1" t="inlineStr"/>
      <c r="D8" s="1" t="inlineStr"/>
      <c r="E8" s="1" t="inlineStr"/>
    </row>
    <row r="9">
      <c r="A9" s="2">
        <f>== NCC-ELECTRICITY CAPEX ===</f>
        <v/>
      </c>
      <c r="B9" s="1" t="inlineStr"/>
      <c r="C9" s="1" t="inlineStr"/>
      <c r="D9" s="1" t="inlineStr"/>
      <c r="E9" s="1" t="inlineStr"/>
    </row>
    <row r="10">
      <c r="A10" s="4" t="inlineStr">
        <is>
          <t>Year</t>
        </is>
      </c>
      <c r="B10" s="4" t="inlineStr">
        <is>
          <t>CAPEX ($/t-C2H4/yr)</t>
        </is>
      </c>
      <c r="C10" s="4" t="inlineStr">
        <is>
          <t>Shaheen Capacity (kt)</t>
        </is>
      </c>
      <c r="D10" s="4" t="inlineStr">
        <is>
          <t>Shaheen CAPEX ($B)</t>
        </is>
      </c>
      <c r="E10" s="4" t="inlineStr">
        <is>
          <t>Notes</t>
        </is>
      </c>
    </row>
    <row r="11">
      <c r="A11" s="1" t="n">
        <v>2030</v>
      </c>
      <c r="B11" s="1">
        <f>'1_Parameters'!B19</f>
        <v/>
      </c>
      <c r="C11" s="1">
        <f>'3_Production_Scenarios'!E7</f>
        <v/>
      </c>
      <c r="D11" s="1">
        <f>C11*B11/1000000</f>
        <v/>
      </c>
      <c r="E11" s="1" t="inlineStr">
        <is>
          <t>First year available</t>
        </is>
      </c>
    </row>
    <row r="12">
      <c r="A12" s="1" t="n">
        <v>2040</v>
      </c>
      <c r="B12" s="1">
        <f>'1_Parameters'!B20</f>
        <v/>
      </c>
      <c r="C12" s="1">
        <f>'3_Production_Scenarios'!E17</f>
        <v/>
      </c>
      <c r="D12" s="1">
        <f>C12*B12/1000000</f>
        <v/>
      </c>
      <c r="E12" s="1" t="inlineStr">
        <is>
          <t>Mid-term</t>
        </is>
      </c>
    </row>
    <row r="13">
      <c r="A13" s="1" t="n">
        <v>2050</v>
      </c>
      <c r="B13" s="1">
        <f>'1_Parameters'!B21</f>
        <v/>
      </c>
      <c r="C13" s="1">
        <f>'3_Production_Scenarios'!E27</f>
        <v/>
      </c>
      <c r="D13" s="1">
        <f>C13*B13/1000000</f>
        <v/>
      </c>
      <c r="E13" s="1" t="inlineStr">
        <is>
          <t>End year</t>
        </is>
      </c>
    </row>
    <row r="14">
      <c r="A14" s="1" t="inlineStr"/>
      <c r="B14" s="1" t="inlineStr"/>
      <c r="C14" s="1" t="inlineStr"/>
      <c r="D14" s="1" t="inlineStr"/>
      <c r="E14" s="1" t="inlineStr"/>
    </row>
    <row r="15">
      <c r="A15" s="2">
        <f>== CUMULATIVE COST COMPARISON (2030-2050) ===</f>
        <v/>
      </c>
      <c r="B15" s="1" t="inlineStr"/>
      <c r="C15" s="1" t="inlineStr"/>
      <c r="D15" s="1" t="inlineStr"/>
      <c r="E15" s="1" t="inlineStr"/>
    </row>
    <row r="16">
      <c r="A16" s="4" t="inlineStr">
        <is>
          <t>Scenario</t>
        </is>
      </c>
      <c r="B16" s="4" t="inlineStr">
        <is>
          <t>H2 Fuel Cost ($B)</t>
        </is>
      </c>
      <c r="C16" s="4" t="inlineStr">
        <is>
          <t>Elec Cost ($B)</t>
        </is>
      </c>
      <c r="D16" s="4" t="inlineStr">
        <is>
          <t>Winner</t>
        </is>
      </c>
      <c r="E16" s="4" t="inlineStr">
        <is>
          <t>Savings ($B)</t>
        </is>
      </c>
    </row>
    <row r="17">
      <c r="A17" s="1" t="inlineStr">
        <is>
          <t>Shaheen</t>
        </is>
      </c>
      <c r="B17" s="1">
        <f>'4_H2_Demand_Cost'!F28</f>
        <v/>
      </c>
      <c r="C17" s="1">
        <f>'5_Elec_Demand_Cost'!F28</f>
        <v/>
      </c>
      <c r="D17" s="1">
        <f>IF(B17&lt;C17,"NCC-H2","NCC-Elec")</f>
        <v/>
      </c>
      <c r="E17" s="1">
        <f>ABS(B17-C17)</f>
        <v/>
      </c>
    </row>
    <row r="18">
      <c r="A18" s="1" t="inlineStr">
        <is>
          <t>구조조정 25%</t>
        </is>
      </c>
      <c r="B18" s="1">
        <f>'4_H2_Demand_Cost'!G28</f>
        <v/>
      </c>
      <c r="C18" s="1">
        <f>'5_Elec_Demand_Cost'!G28</f>
        <v/>
      </c>
      <c r="D18" s="1">
        <f>IF(B18&lt;C18,"NCC-H2","NCC-Elec")</f>
        <v/>
      </c>
      <c r="E18" s="1">
        <f>ABS(B18-C18)</f>
        <v/>
      </c>
    </row>
    <row r="19">
      <c r="A19" s="1" t="inlineStr">
        <is>
          <t>구조조정 40%</t>
        </is>
      </c>
      <c r="B19" s="1">
        <f>'4_H2_Demand_Cost'!H28</f>
        <v/>
      </c>
      <c r="C19" s="1">
        <f>'5_Elec_Demand_Cost'!H28</f>
        <v/>
      </c>
      <c r="D19" s="1">
        <f>IF(B19&lt;C19,"NCC-H2","NCC-Elec")</f>
        <v/>
      </c>
      <c r="E19" s="1">
        <f>ABS(B19-C19)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Year</t>
        </is>
      </c>
      <c r="B1" s="4" t="inlineStr">
        <is>
          <t>Daesan H2 (kt)</t>
        </is>
      </c>
      <c r="C1" s="4" t="inlineStr">
        <is>
          <t>Yeosu H2 (kt)</t>
        </is>
      </c>
      <c r="D1" s="4" t="inlineStr">
        <is>
          <t>Ulsan H2 (kt)</t>
        </is>
      </c>
      <c r="E1" s="4" t="inlineStr">
        <is>
          <t>Onsan H2 (kt)</t>
        </is>
      </c>
      <c r="F1" s="4" t="inlineStr">
        <is>
          <t>Total H2 (kt)</t>
        </is>
      </c>
    </row>
    <row r="2">
      <c r="A2" s="5" t="inlineStr">
        <is>
          <t>Share (%)</t>
        </is>
      </c>
      <c r="B2" t="inlineStr">
        <is>
          <t>39.9%</t>
        </is>
      </c>
      <c r="C2" t="inlineStr">
        <is>
          <t>45.5%</t>
        </is>
      </c>
      <c r="D2" t="inlineStr">
        <is>
          <t>5.5%</t>
        </is>
      </c>
      <c r="E2" t="inlineStr">
        <is>
          <t>9.0%</t>
        </is>
      </c>
    </row>
    <row r="3">
      <c r="A3" s="1" t="n">
        <v>2025</v>
      </c>
      <c r="B3" s="1">
        <f>'4_H2_Demand_Cost'!B2*0.3992</f>
        <v/>
      </c>
      <c r="C3" s="1">
        <f>'4_H2_Demand_Cost'!B2*0.4552</f>
        <v/>
      </c>
      <c r="D3" s="1">
        <f>'4_H2_Demand_Cost'!B2*0.0552</f>
        <v/>
      </c>
      <c r="E3" s="1">
        <f>'4_H2_Demand_Cost'!B2*0.0905</f>
        <v/>
      </c>
      <c r="F3" s="1">
        <f>SUM(B3:E3)</f>
        <v/>
      </c>
    </row>
    <row r="4">
      <c r="A4" s="1" t="n">
        <v>2026</v>
      </c>
      <c r="B4" s="1">
        <f>'4_H2_Demand_Cost'!B3*0.3992</f>
        <v/>
      </c>
      <c r="C4" s="1">
        <f>'4_H2_Demand_Cost'!B3*0.4552</f>
        <v/>
      </c>
      <c r="D4" s="1">
        <f>'4_H2_Demand_Cost'!B3*0.0552</f>
        <v/>
      </c>
      <c r="E4" s="1">
        <f>'4_H2_Demand_Cost'!B3*0.0905</f>
        <v/>
      </c>
      <c r="F4" s="1">
        <f>SUM(B4:E4)</f>
        <v/>
      </c>
    </row>
    <row r="5">
      <c r="A5" s="1" t="n">
        <v>2027</v>
      </c>
      <c r="B5" s="1">
        <f>'4_H2_Demand_Cost'!B4*0.3992</f>
        <v/>
      </c>
      <c r="C5" s="1">
        <f>'4_H2_Demand_Cost'!B4*0.4552</f>
        <v/>
      </c>
      <c r="D5" s="1">
        <f>'4_H2_Demand_Cost'!B4*0.0552</f>
        <v/>
      </c>
      <c r="E5" s="1">
        <f>'4_H2_Demand_Cost'!B4*0.0905</f>
        <v/>
      </c>
      <c r="F5" s="1">
        <f>SUM(B5:E5)</f>
        <v/>
      </c>
    </row>
    <row r="6">
      <c r="A6" s="1" t="n">
        <v>2028</v>
      </c>
      <c r="B6" s="1">
        <f>'4_H2_Demand_Cost'!B5*0.3992</f>
        <v/>
      </c>
      <c r="C6" s="1">
        <f>'4_H2_Demand_Cost'!B5*0.4552</f>
        <v/>
      </c>
      <c r="D6" s="1">
        <f>'4_H2_Demand_Cost'!B5*0.0552</f>
        <v/>
      </c>
      <c r="E6" s="1">
        <f>'4_H2_Demand_Cost'!B5*0.0905</f>
        <v/>
      </c>
      <c r="F6" s="1">
        <f>SUM(B6:E6)</f>
        <v/>
      </c>
    </row>
    <row r="7">
      <c r="A7" s="1" t="n">
        <v>2029</v>
      </c>
      <c r="B7" s="1">
        <f>'4_H2_Demand_Cost'!B6*0.3992</f>
        <v/>
      </c>
      <c r="C7" s="1">
        <f>'4_H2_Demand_Cost'!B6*0.4552</f>
        <v/>
      </c>
      <c r="D7" s="1">
        <f>'4_H2_Demand_Cost'!B6*0.0552</f>
        <v/>
      </c>
      <c r="E7" s="1">
        <f>'4_H2_Demand_Cost'!B6*0.0905</f>
        <v/>
      </c>
      <c r="F7" s="1">
        <f>SUM(B7:E7)</f>
        <v/>
      </c>
    </row>
    <row r="8">
      <c r="A8" s="1" t="n">
        <v>2030</v>
      </c>
      <c r="B8" s="1">
        <f>'4_H2_Demand_Cost'!B7*0.3992</f>
        <v/>
      </c>
      <c r="C8" s="1">
        <f>'4_H2_Demand_Cost'!B7*0.4552</f>
        <v/>
      </c>
      <c r="D8" s="1">
        <f>'4_H2_Demand_Cost'!B7*0.0552</f>
        <v/>
      </c>
      <c r="E8" s="1">
        <f>'4_H2_Demand_Cost'!B7*0.0905</f>
        <v/>
      </c>
      <c r="F8" s="1">
        <f>SUM(B8:E8)</f>
        <v/>
      </c>
    </row>
    <row r="9">
      <c r="A9" s="1" t="n">
        <v>2031</v>
      </c>
      <c r="B9" s="1">
        <f>'4_H2_Demand_Cost'!B8*0.3992</f>
        <v/>
      </c>
      <c r="C9" s="1">
        <f>'4_H2_Demand_Cost'!B8*0.4552</f>
        <v/>
      </c>
      <c r="D9" s="1">
        <f>'4_H2_Demand_Cost'!B8*0.0552</f>
        <v/>
      </c>
      <c r="E9" s="1">
        <f>'4_H2_Demand_Cost'!B8*0.0905</f>
        <v/>
      </c>
      <c r="F9" s="1">
        <f>SUM(B9:E9)</f>
        <v/>
      </c>
    </row>
    <row r="10">
      <c r="A10" s="1" t="n">
        <v>2032</v>
      </c>
      <c r="B10" s="1">
        <f>'4_H2_Demand_Cost'!B9*0.3992</f>
        <v/>
      </c>
      <c r="C10" s="1">
        <f>'4_H2_Demand_Cost'!B9*0.4552</f>
        <v/>
      </c>
      <c r="D10" s="1">
        <f>'4_H2_Demand_Cost'!B9*0.0552</f>
        <v/>
      </c>
      <c r="E10" s="1">
        <f>'4_H2_Demand_Cost'!B9*0.0905</f>
        <v/>
      </c>
      <c r="F10" s="1">
        <f>SUM(B10:E10)</f>
        <v/>
      </c>
    </row>
    <row r="11">
      <c r="A11" s="1" t="n">
        <v>2033</v>
      </c>
      <c r="B11" s="1">
        <f>'4_H2_Demand_Cost'!B10*0.3992</f>
        <v/>
      </c>
      <c r="C11" s="1">
        <f>'4_H2_Demand_Cost'!B10*0.4552</f>
        <v/>
      </c>
      <c r="D11" s="1">
        <f>'4_H2_Demand_Cost'!B10*0.0552</f>
        <v/>
      </c>
      <c r="E11" s="1">
        <f>'4_H2_Demand_Cost'!B10*0.0905</f>
        <v/>
      </c>
      <c r="F11" s="1">
        <f>SUM(B11:E11)</f>
        <v/>
      </c>
    </row>
    <row r="12">
      <c r="A12" s="1" t="n">
        <v>2034</v>
      </c>
      <c r="B12" s="1">
        <f>'4_H2_Demand_Cost'!B11*0.3992</f>
        <v/>
      </c>
      <c r="C12" s="1">
        <f>'4_H2_Demand_Cost'!B11*0.4552</f>
        <v/>
      </c>
      <c r="D12" s="1">
        <f>'4_H2_Demand_Cost'!B11*0.0552</f>
        <v/>
      </c>
      <c r="E12" s="1">
        <f>'4_H2_Demand_Cost'!B11*0.0905</f>
        <v/>
      </c>
      <c r="F12" s="1">
        <f>SUM(B12:E12)</f>
        <v/>
      </c>
    </row>
    <row r="13">
      <c r="A13" s="1" t="n">
        <v>2035</v>
      </c>
      <c r="B13" s="1">
        <f>'4_H2_Demand_Cost'!B12*0.3992</f>
        <v/>
      </c>
      <c r="C13" s="1">
        <f>'4_H2_Demand_Cost'!B12*0.4552</f>
        <v/>
      </c>
      <c r="D13" s="1">
        <f>'4_H2_Demand_Cost'!B12*0.0552</f>
        <v/>
      </c>
      <c r="E13" s="1">
        <f>'4_H2_Demand_Cost'!B12*0.0905</f>
        <v/>
      </c>
      <c r="F13" s="1">
        <f>SUM(B13:E13)</f>
        <v/>
      </c>
    </row>
    <row r="14">
      <c r="A14" s="1" t="n">
        <v>2036</v>
      </c>
      <c r="B14" s="1">
        <f>'4_H2_Demand_Cost'!B13*0.3992</f>
        <v/>
      </c>
      <c r="C14" s="1">
        <f>'4_H2_Demand_Cost'!B13*0.4552</f>
        <v/>
      </c>
      <c r="D14" s="1">
        <f>'4_H2_Demand_Cost'!B13*0.0552</f>
        <v/>
      </c>
      <c r="E14" s="1">
        <f>'4_H2_Demand_Cost'!B13*0.0905</f>
        <v/>
      </c>
      <c r="F14" s="1">
        <f>SUM(B14:E14)</f>
        <v/>
      </c>
    </row>
    <row r="15">
      <c r="A15" s="1" t="n">
        <v>2037</v>
      </c>
      <c r="B15" s="1">
        <f>'4_H2_Demand_Cost'!B14*0.3992</f>
        <v/>
      </c>
      <c r="C15" s="1">
        <f>'4_H2_Demand_Cost'!B14*0.4552</f>
        <v/>
      </c>
      <c r="D15" s="1">
        <f>'4_H2_Demand_Cost'!B14*0.0552</f>
        <v/>
      </c>
      <c r="E15" s="1">
        <f>'4_H2_Demand_Cost'!B14*0.0905</f>
        <v/>
      </c>
      <c r="F15" s="1">
        <f>SUM(B15:E15)</f>
        <v/>
      </c>
    </row>
    <row r="16">
      <c r="A16" s="1" t="n">
        <v>2038</v>
      </c>
      <c r="B16" s="1">
        <f>'4_H2_Demand_Cost'!B15*0.3992</f>
        <v/>
      </c>
      <c r="C16" s="1">
        <f>'4_H2_Demand_Cost'!B15*0.4552</f>
        <v/>
      </c>
      <c r="D16" s="1">
        <f>'4_H2_Demand_Cost'!B15*0.0552</f>
        <v/>
      </c>
      <c r="E16" s="1">
        <f>'4_H2_Demand_Cost'!B15*0.0905</f>
        <v/>
      </c>
      <c r="F16" s="1">
        <f>SUM(B16:E16)</f>
        <v/>
      </c>
    </row>
    <row r="17">
      <c r="A17" s="1" t="n">
        <v>2039</v>
      </c>
      <c r="B17" s="1">
        <f>'4_H2_Demand_Cost'!B16*0.3992</f>
        <v/>
      </c>
      <c r="C17" s="1">
        <f>'4_H2_Demand_Cost'!B16*0.4552</f>
        <v/>
      </c>
      <c r="D17" s="1">
        <f>'4_H2_Demand_Cost'!B16*0.0552</f>
        <v/>
      </c>
      <c r="E17" s="1">
        <f>'4_H2_Demand_Cost'!B16*0.0905</f>
        <v/>
      </c>
      <c r="F17" s="1">
        <f>SUM(B17:E17)</f>
        <v/>
      </c>
    </row>
    <row r="18">
      <c r="A18" s="1" t="n">
        <v>2040</v>
      </c>
      <c r="B18" s="1">
        <f>'4_H2_Demand_Cost'!B17*0.3992</f>
        <v/>
      </c>
      <c r="C18" s="1">
        <f>'4_H2_Demand_Cost'!B17*0.4552</f>
        <v/>
      </c>
      <c r="D18" s="1">
        <f>'4_H2_Demand_Cost'!B17*0.0552</f>
        <v/>
      </c>
      <c r="E18" s="1">
        <f>'4_H2_Demand_Cost'!B17*0.0905</f>
        <v/>
      </c>
      <c r="F18" s="1">
        <f>SUM(B18:E18)</f>
        <v/>
      </c>
    </row>
    <row r="19">
      <c r="A19" s="1" t="n">
        <v>2041</v>
      </c>
      <c r="B19" s="1">
        <f>'4_H2_Demand_Cost'!B18*0.3992</f>
        <v/>
      </c>
      <c r="C19" s="1">
        <f>'4_H2_Demand_Cost'!B18*0.4552</f>
        <v/>
      </c>
      <c r="D19" s="1">
        <f>'4_H2_Demand_Cost'!B18*0.0552</f>
        <v/>
      </c>
      <c r="E19" s="1">
        <f>'4_H2_Demand_Cost'!B18*0.0905</f>
        <v/>
      </c>
      <c r="F19" s="1">
        <f>SUM(B19:E19)</f>
        <v/>
      </c>
    </row>
    <row r="20">
      <c r="A20" s="1" t="n">
        <v>2042</v>
      </c>
      <c r="B20" s="1">
        <f>'4_H2_Demand_Cost'!B19*0.3992</f>
        <v/>
      </c>
      <c r="C20" s="1">
        <f>'4_H2_Demand_Cost'!B19*0.4552</f>
        <v/>
      </c>
      <c r="D20" s="1">
        <f>'4_H2_Demand_Cost'!B19*0.0552</f>
        <v/>
      </c>
      <c r="E20" s="1">
        <f>'4_H2_Demand_Cost'!B19*0.0905</f>
        <v/>
      </c>
      <c r="F20" s="1">
        <f>SUM(B20:E20)</f>
        <v/>
      </c>
    </row>
    <row r="21">
      <c r="A21" s="1" t="n">
        <v>2043</v>
      </c>
      <c r="B21" s="1">
        <f>'4_H2_Demand_Cost'!B20*0.3992</f>
        <v/>
      </c>
      <c r="C21" s="1">
        <f>'4_H2_Demand_Cost'!B20*0.4552</f>
        <v/>
      </c>
      <c r="D21" s="1">
        <f>'4_H2_Demand_Cost'!B20*0.0552</f>
        <v/>
      </c>
      <c r="E21" s="1">
        <f>'4_H2_Demand_Cost'!B20*0.0905</f>
        <v/>
      </c>
      <c r="F21" s="1">
        <f>SUM(B21:E21)</f>
        <v/>
      </c>
    </row>
    <row r="22">
      <c r="A22" s="1" t="n">
        <v>2044</v>
      </c>
      <c r="B22" s="1">
        <f>'4_H2_Demand_Cost'!B21*0.3992</f>
        <v/>
      </c>
      <c r="C22" s="1">
        <f>'4_H2_Demand_Cost'!B21*0.4552</f>
        <v/>
      </c>
      <c r="D22" s="1">
        <f>'4_H2_Demand_Cost'!B21*0.0552</f>
        <v/>
      </c>
      <c r="E22" s="1">
        <f>'4_H2_Demand_Cost'!B21*0.0905</f>
        <v/>
      </c>
      <c r="F22" s="1">
        <f>SUM(B22:E22)</f>
        <v/>
      </c>
    </row>
    <row r="23">
      <c r="A23" s="1" t="n">
        <v>2045</v>
      </c>
      <c r="B23" s="1">
        <f>'4_H2_Demand_Cost'!B22*0.3992</f>
        <v/>
      </c>
      <c r="C23" s="1">
        <f>'4_H2_Demand_Cost'!B22*0.4552</f>
        <v/>
      </c>
      <c r="D23" s="1">
        <f>'4_H2_Demand_Cost'!B22*0.0552</f>
        <v/>
      </c>
      <c r="E23" s="1">
        <f>'4_H2_Demand_Cost'!B22*0.0905</f>
        <v/>
      </c>
      <c r="F23" s="1">
        <f>SUM(B23:E23)</f>
        <v/>
      </c>
    </row>
    <row r="24">
      <c r="A24" s="1" t="n">
        <v>2046</v>
      </c>
      <c r="B24" s="1">
        <f>'4_H2_Demand_Cost'!B23*0.3992</f>
        <v/>
      </c>
      <c r="C24" s="1">
        <f>'4_H2_Demand_Cost'!B23*0.4552</f>
        <v/>
      </c>
      <c r="D24" s="1">
        <f>'4_H2_Demand_Cost'!B23*0.0552</f>
        <v/>
      </c>
      <c r="E24" s="1">
        <f>'4_H2_Demand_Cost'!B23*0.0905</f>
        <v/>
      </c>
      <c r="F24" s="1">
        <f>SUM(B24:E24)</f>
        <v/>
      </c>
    </row>
    <row r="25">
      <c r="A25" s="1" t="n">
        <v>2047</v>
      </c>
      <c r="B25" s="1">
        <f>'4_H2_Demand_Cost'!B24*0.3992</f>
        <v/>
      </c>
      <c r="C25" s="1">
        <f>'4_H2_Demand_Cost'!B24*0.4552</f>
        <v/>
      </c>
      <c r="D25" s="1">
        <f>'4_H2_Demand_Cost'!B24*0.0552</f>
        <v/>
      </c>
      <c r="E25" s="1">
        <f>'4_H2_Demand_Cost'!B24*0.0905</f>
        <v/>
      </c>
      <c r="F25" s="1">
        <f>SUM(B25:E25)</f>
        <v/>
      </c>
    </row>
    <row r="26">
      <c r="A26" s="1" t="n">
        <v>2048</v>
      </c>
      <c r="B26" s="1">
        <f>'4_H2_Demand_Cost'!B25*0.3992</f>
        <v/>
      </c>
      <c r="C26" s="1">
        <f>'4_H2_Demand_Cost'!B25*0.4552</f>
        <v/>
      </c>
      <c r="D26" s="1">
        <f>'4_H2_Demand_Cost'!B25*0.0552</f>
        <v/>
      </c>
      <c r="E26" s="1">
        <f>'4_H2_Demand_Cost'!B25*0.0905</f>
        <v/>
      </c>
      <c r="F26" s="1">
        <f>SUM(B26:E26)</f>
        <v/>
      </c>
    </row>
    <row r="27">
      <c r="A27" s="1" t="n">
        <v>2049</v>
      </c>
      <c r="B27" s="1">
        <f>'4_H2_Demand_Cost'!B26*0.3992</f>
        <v/>
      </c>
      <c r="C27" s="1">
        <f>'4_H2_Demand_Cost'!B26*0.4552</f>
        <v/>
      </c>
      <c r="D27" s="1">
        <f>'4_H2_Demand_Cost'!B26*0.0552</f>
        <v/>
      </c>
      <c r="E27" s="1">
        <f>'4_H2_Demand_Cost'!B26*0.0905</f>
        <v/>
      </c>
      <c r="F27" s="1">
        <f>SUM(B27:E27)</f>
        <v/>
      </c>
    </row>
    <row r="28">
      <c r="A28" s="1" t="n">
        <v>2050</v>
      </c>
      <c r="B28" s="1">
        <f>'4_H2_Demand_Cost'!B27*0.3992</f>
        <v/>
      </c>
      <c r="C28" s="1">
        <f>'4_H2_Demand_Cost'!B27*0.4552</f>
        <v/>
      </c>
      <c r="D28" s="1">
        <f>'4_H2_Demand_Cost'!B27*0.0552</f>
        <v/>
      </c>
      <c r="E28" s="1">
        <f>'4_H2_Demand_Cost'!B27*0.0905</f>
        <v/>
      </c>
      <c r="F28" s="1">
        <f>SUM(B28:E28)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Year</t>
        </is>
      </c>
      <c r="B1" s="4" t="inlineStr">
        <is>
          <t>Daesan Elec (TWh)</t>
        </is>
      </c>
      <c r="C1" s="4" t="inlineStr">
        <is>
          <t>Yeosu Elec (TWh)</t>
        </is>
      </c>
      <c r="D1" s="4" t="inlineStr">
        <is>
          <t>Ulsan Elec (TWh)</t>
        </is>
      </c>
      <c r="E1" s="4" t="inlineStr">
        <is>
          <t>Onsan Elec (TWh)</t>
        </is>
      </c>
      <c r="F1" s="4" t="inlineStr">
        <is>
          <t>Total Elec (TWh)</t>
        </is>
      </c>
    </row>
    <row r="2">
      <c r="A2" s="5" t="inlineStr">
        <is>
          <t>Share (%)</t>
        </is>
      </c>
      <c r="B2" t="inlineStr">
        <is>
          <t>35.8%</t>
        </is>
      </c>
      <c r="C2" t="inlineStr">
        <is>
          <t>37.8%</t>
        </is>
      </c>
      <c r="D2" t="inlineStr">
        <is>
          <t>9.3%</t>
        </is>
      </c>
      <c r="E2" t="inlineStr">
        <is>
          <t>17.2%</t>
        </is>
      </c>
    </row>
    <row r="3">
      <c r="A3" s="1" t="n">
        <v>2025</v>
      </c>
      <c r="B3" s="1">
        <f>'5_Elec_Demand_Cost'!B2*0.3580</f>
        <v/>
      </c>
      <c r="C3" s="1">
        <f>'5_Elec_Demand_Cost'!B2*0.3780</f>
        <v/>
      </c>
      <c r="D3" s="1">
        <f>'5_Elec_Demand_Cost'!B2*0.0930</f>
        <v/>
      </c>
      <c r="E3" s="1">
        <f>'5_Elec_Demand_Cost'!B2*0.1720</f>
        <v/>
      </c>
      <c r="F3" s="1">
        <f>SUM(B3:E3)</f>
        <v/>
      </c>
    </row>
    <row r="4">
      <c r="A4" s="1" t="n">
        <v>2026</v>
      </c>
      <c r="B4" s="1">
        <f>'5_Elec_Demand_Cost'!B3*0.3580</f>
        <v/>
      </c>
      <c r="C4" s="1">
        <f>'5_Elec_Demand_Cost'!B3*0.3780</f>
        <v/>
      </c>
      <c r="D4" s="1">
        <f>'5_Elec_Demand_Cost'!B3*0.0930</f>
        <v/>
      </c>
      <c r="E4" s="1">
        <f>'5_Elec_Demand_Cost'!B3*0.1720</f>
        <v/>
      </c>
      <c r="F4" s="1">
        <f>SUM(B4:E4)</f>
        <v/>
      </c>
    </row>
    <row r="5">
      <c r="A5" s="1" t="n">
        <v>2027</v>
      </c>
      <c r="B5" s="1">
        <f>'5_Elec_Demand_Cost'!B4*0.3580</f>
        <v/>
      </c>
      <c r="C5" s="1">
        <f>'5_Elec_Demand_Cost'!B4*0.3780</f>
        <v/>
      </c>
      <c r="D5" s="1">
        <f>'5_Elec_Demand_Cost'!B4*0.0930</f>
        <v/>
      </c>
      <c r="E5" s="1">
        <f>'5_Elec_Demand_Cost'!B4*0.1720</f>
        <v/>
      </c>
      <c r="F5" s="1">
        <f>SUM(B5:E5)</f>
        <v/>
      </c>
    </row>
    <row r="6">
      <c r="A6" s="1" t="n">
        <v>2028</v>
      </c>
      <c r="B6" s="1">
        <f>'5_Elec_Demand_Cost'!B5*0.3580</f>
        <v/>
      </c>
      <c r="C6" s="1">
        <f>'5_Elec_Demand_Cost'!B5*0.3780</f>
        <v/>
      </c>
      <c r="D6" s="1">
        <f>'5_Elec_Demand_Cost'!B5*0.0930</f>
        <v/>
      </c>
      <c r="E6" s="1">
        <f>'5_Elec_Demand_Cost'!B5*0.1720</f>
        <v/>
      </c>
      <c r="F6" s="1">
        <f>SUM(B6:E6)</f>
        <v/>
      </c>
    </row>
    <row r="7">
      <c r="A7" s="1" t="n">
        <v>2029</v>
      </c>
      <c r="B7" s="1">
        <f>'5_Elec_Demand_Cost'!B6*0.3580</f>
        <v/>
      </c>
      <c r="C7" s="1">
        <f>'5_Elec_Demand_Cost'!B6*0.3780</f>
        <v/>
      </c>
      <c r="D7" s="1">
        <f>'5_Elec_Demand_Cost'!B6*0.0930</f>
        <v/>
      </c>
      <c r="E7" s="1">
        <f>'5_Elec_Demand_Cost'!B6*0.1720</f>
        <v/>
      </c>
      <c r="F7" s="1">
        <f>SUM(B7:E7)</f>
        <v/>
      </c>
    </row>
    <row r="8">
      <c r="A8" s="1" t="n">
        <v>2030</v>
      </c>
      <c r="B8" s="1">
        <f>'5_Elec_Demand_Cost'!B7*0.3580</f>
        <v/>
      </c>
      <c r="C8" s="1">
        <f>'5_Elec_Demand_Cost'!B7*0.3780</f>
        <v/>
      </c>
      <c r="D8" s="1">
        <f>'5_Elec_Demand_Cost'!B7*0.0930</f>
        <v/>
      </c>
      <c r="E8" s="1">
        <f>'5_Elec_Demand_Cost'!B7*0.1720</f>
        <v/>
      </c>
      <c r="F8" s="1">
        <f>SUM(B8:E8)</f>
        <v/>
      </c>
    </row>
    <row r="9">
      <c r="A9" s="1" t="n">
        <v>2031</v>
      </c>
      <c r="B9" s="1">
        <f>'5_Elec_Demand_Cost'!B8*0.3580</f>
        <v/>
      </c>
      <c r="C9" s="1">
        <f>'5_Elec_Demand_Cost'!B8*0.3780</f>
        <v/>
      </c>
      <c r="D9" s="1">
        <f>'5_Elec_Demand_Cost'!B8*0.0930</f>
        <v/>
      </c>
      <c r="E9" s="1">
        <f>'5_Elec_Demand_Cost'!B8*0.1720</f>
        <v/>
      </c>
      <c r="F9" s="1">
        <f>SUM(B9:E9)</f>
        <v/>
      </c>
    </row>
    <row r="10">
      <c r="A10" s="1" t="n">
        <v>2032</v>
      </c>
      <c r="B10" s="1">
        <f>'5_Elec_Demand_Cost'!B9*0.3580</f>
        <v/>
      </c>
      <c r="C10" s="1">
        <f>'5_Elec_Demand_Cost'!B9*0.3780</f>
        <v/>
      </c>
      <c r="D10" s="1">
        <f>'5_Elec_Demand_Cost'!B9*0.0930</f>
        <v/>
      </c>
      <c r="E10" s="1">
        <f>'5_Elec_Demand_Cost'!B9*0.1720</f>
        <v/>
      </c>
      <c r="F10" s="1">
        <f>SUM(B10:E10)</f>
        <v/>
      </c>
    </row>
    <row r="11">
      <c r="A11" s="1" t="n">
        <v>2033</v>
      </c>
      <c r="B11" s="1">
        <f>'5_Elec_Demand_Cost'!B10*0.3580</f>
        <v/>
      </c>
      <c r="C11" s="1">
        <f>'5_Elec_Demand_Cost'!B10*0.3780</f>
        <v/>
      </c>
      <c r="D11" s="1">
        <f>'5_Elec_Demand_Cost'!B10*0.0930</f>
        <v/>
      </c>
      <c r="E11" s="1">
        <f>'5_Elec_Demand_Cost'!B10*0.1720</f>
        <v/>
      </c>
      <c r="F11" s="1">
        <f>SUM(B11:E11)</f>
        <v/>
      </c>
    </row>
    <row r="12">
      <c r="A12" s="1" t="n">
        <v>2034</v>
      </c>
      <c r="B12" s="1">
        <f>'5_Elec_Demand_Cost'!B11*0.3580</f>
        <v/>
      </c>
      <c r="C12" s="1">
        <f>'5_Elec_Demand_Cost'!B11*0.3780</f>
        <v/>
      </c>
      <c r="D12" s="1">
        <f>'5_Elec_Demand_Cost'!B11*0.0930</f>
        <v/>
      </c>
      <c r="E12" s="1">
        <f>'5_Elec_Demand_Cost'!B11*0.1720</f>
        <v/>
      </c>
      <c r="F12" s="1">
        <f>SUM(B12:E12)</f>
        <v/>
      </c>
    </row>
    <row r="13">
      <c r="A13" s="1" t="n">
        <v>2035</v>
      </c>
      <c r="B13" s="1">
        <f>'5_Elec_Demand_Cost'!B12*0.3580</f>
        <v/>
      </c>
      <c r="C13" s="1">
        <f>'5_Elec_Demand_Cost'!B12*0.3780</f>
        <v/>
      </c>
      <c r="D13" s="1">
        <f>'5_Elec_Demand_Cost'!B12*0.0930</f>
        <v/>
      </c>
      <c r="E13" s="1">
        <f>'5_Elec_Demand_Cost'!B12*0.1720</f>
        <v/>
      </c>
      <c r="F13" s="1">
        <f>SUM(B13:E13)</f>
        <v/>
      </c>
    </row>
    <row r="14">
      <c r="A14" s="1" t="n">
        <v>2036</v>
      </c>
      <c r="B14" s="1">
        <f>'5_Elec_Demand_Cost'!B13*0.3580</f>
        <v/>
      </c>
      <c r="C14" s="1">
        <f>'5_Elec_Demand_Cost'!B13*0.3780</f>
        <v/>
      </c>
      <c r="D14" s="1">
        <f>'5_Elec_Demand_Cost'!B13*0.0930</f>
        <v/>
      </c>
      <c r="E14" s="1">
        <f>'5_Elec_Demand_Cost'!B13*0.1720</f>
        <v/>
      </c>
      <c r="F14" s="1">
        <f>SUM(B14:E14)</f>
        <v/>
      </c>
    </row>
    <row r="15">
      <c r="A15" s="1" t="n">
        <v>2037</v>
      </c>
      <c r="B15" s="1">
        <f>'5_Elec_Demand_Cost'!B14*0.3580</f>
        <v/>
      </c>
      <c r="C15" s="1">
        <f>'5_Elec_Demand_Cost'!B14*0.3780</f>
        <v/>
      </c>
      <c r="D15" s="1">
        <f>'5_Elec_Demand_Cost'!B14*0.0930</f>
        <v/>
      </c>
      <c r="E15" s="1">
        <f>'5_Elec_Demand_Cost'!B14*0.1720</f>
        <v/>
      </c>
      <c r="F15" s="1">
        <f>SUM(B15:E15)</f>
        <v/>
      </c>
    </row>
    <row r="16">
      <c r="A16" s="1" t="n">
        <v>2038</v>
      </c>
      <c r="B16" s="1">
        <f>'5_Elec_Demand_Cost'!B15*0.3580</f>
        <v/>
      </c>
      <c r="C16" s="1">
        <f>'5_Elec_Demand_Cost'!B15*0.3780</f>
        <v/>
      </c>
      <c r="D16" s="1">
        <f>'5_Elec_Demand_Cost'!B15*0.0930</f>
        <v/>
      </c>
      <c r="E16" s="1">
        <f>'5_Elec_Demand_Cost'!B15*0.1720</f>
        <v/>
      </c>
      <c r="F16" s="1">
        <f>SUM(B16:E16)</f>
        <v/>
      </c>
    </row>
    <row r="17">
      <c r="A17" s="1" t="n">
        <v>2039</v>
      </c>
      <c r="B17" s="1">
        <f>'5_Elec_Demand_Cost'!B16*0.3580</f>
        <v/>
      </c>
      <c r="C17" s="1">
        <f>'5_Elec_Demand_Cost'!B16*0.3780</f>
        <v/>
      </c>
      <c r="D17" s="1">
        <f>'5_Elec_Demand_Cost'!B16*0.0930</f>
        <v/>
      </c>
      <c r="E17" s="1">
        <f>'5_Elec_Demand_Cost'!B16*0.1720</f>
        <v/>
      </c>
      <c r="F17" s="1">
        <f>SUM(B17:E17)</f>
        <v/>
      </c>
    </row>
    <row r="18">
      <c r="A18" s="1" t="n">
        <v>2040</v>
      </c>
      <c r="B18" s="1">
        <f>'5_Elec_Demand_Cost'!B17*0.3580</f>
        <v/>
      </c>
      <c r="C18" s="1">
        <f>'5_Elec_Demand_Cost'!B17*0.3780</f>
        <v/>
      </c>
      <c r="D18" s="1">
        <f>'5_Elec_Demand_Cost'!B17*0.0930</f>
        <v/>
      </c>
      <c r="E18" s="1">
        <f>'5_Elec_Demand_Cost'!B17*0.1720</f>
        <v/>
      </c>
      <c r="F18" s="1">
        <f>SUM(B18:E18)</f>
        <v/>
      </c>
    </row>
    <row r="19">
      <c r="A19" s="1" t="n">
        <v>2041</v>
      </c>
      <c r="B19" s="1">
        <f>'5_Elec_Demand_Cost'!B18*0.3580</f>
        <v/>
      </c>
      <c r="C19" s="1">
        <f>'5_Elec_Demand_Cost'!B18*0.3780</f>
        <v/>
      </c>
      <c r="D19" s="1">
        <f>'5_Elec_Demand_Cost'!B18*0.0930</f>
        <v/>
      </c>
      <c r="E19" s="1">
        <f>'5_Elec_Demand_Cost'!B18*0.1720</f>
        <v/>
      </c>
      <c r="F19" s="1">
        <f>SUM(B19:E19)</f>
        <v/>
      </c>
    </row>
    <row r="20">
      <c r="A20" s="1" t="n">
        <v>2042</v>
      </c>
      <c r="B20" s="1">
        <f>'5_Elec_Demand_Cost'!B19*0.3580</f>
        <v/>
      </c>
      <c r="C20" s="1">
        <f>'5_Elec_Demand_Cost'!B19*0.3780</f>
        <v/>
      </c>
      <c r="D20" s="1">
        <f>'5_Elec_Demand_Cost'!B19*0.0930</f>
        <v/>
      </c>
      <c r="E20" s="1">
        <f>'5_Elec_Demand_Cost'!B19*0.1720</f>
        <v/>
      </c>
      <c r="F20" s="1">
        <f>SUM(B20:E20)</f>
        <v/>
      </c>
    </row>
    <row r="21">
      <c r="A21" s="1" t="n">
        <v>2043</v>
      </c>
      <c r="B21" s="1">
        <f>'5_Elec_Demand_Cost'!B20*0.3580</f>
        <v/>
      </c>
      <c r="C21" s="1">
        <f>'5_Elec_Demand_Cost'!B20*0.3780</f>
        <v/>
      </c>
      <c r="D21" s="1">
        <f>'5_Elec_Demand_Cost'!B20*0.0930</f>
        <v/>
      </c>
      <c r="E21" s="1">
        <f>'5_Elec_Demand_Cost'!B20*0.1720</f>
        <v/>
      </c>
      <c r="F21" s="1">
        <f>SUM(B21:E21)</f>
        <v/>
      </c>
    </row>
    <row r="22">
      <c r="A22" s="1" t="n">
        <v>2044</v>
      </c>
      <c r="B22" s="1">
        <f>'5_Elec_Demand_Cost'!B21*0.3580</f>
        <v/>
      </c>
      <c r="C22" s="1">
        <f>'5_Elec_Demand_Cost'!B21*0.3780</f>
        <v/>
      </c>
      <c r="D22" s="1">
        <f>'5_Elec_Demand_Cost'!B21*0.0930</f>
        <v/>
      </c>
      <c r="E22" s="1">
        <f>'5_Elec_Demand_Cost'!B21*0.1720</f>
        <v/>
      </c>
      <c r="F22" s="1">
        <f>SUM(B22:E22)</f>
        <v/>
      </c>
    </row>
    <row r="23">
      <c r="A23" s="1" t="n">
        <v>2045</v>
      </c>
      <c r="B23" s="1">
        <f>'5_Elec_Demand_Cost'!B22*0.3580</f>
        <v/>
      </c>
      <c r="C23" s="1">
        <f>'5_Elec_Demand_Cost'!B22*0.3780</f>
        <v/>
      </c>
      <c r="D23" s="1">
        <f>'5_Elec_Demand_Cost'!B22*0.0930</f>
        <v/>
      </c>
      <c r="E23" s="1">
        <f>'5_Elec_Demand_Cost'!B22*0.1720</f>
        <v/>
      </c>
      <c r="F23" s="1">
        <f>SUM(B23:E23)</f>
        <v/>
      </c>
    </row>
    <row r="24">
      <c r="A24" s="1" t="n">
        <v>2046</v>
      </c>
      <c r="B24" s="1">
        <f>'5_Elec_Demand_Cost'!B23*0.3580</f>
        <v/>
      </c>
      <c r="C24" s="1">
        <f>'5_Elec_Demand_Cost'!B23*0.3780</f>
        <v/>
      </c>
      <c r="D24" s="1">
        <f>'5_Elec_Demand_Cost'!B23*0.0930</f>
        <v/>
      </c>
      <c r="E24" s="1">
        <f>'5_Elec_Demand_Cost'!B23*0.1720</f>
        <v/>
      </c>
      <c r="F24" s="1">
        <f>SUM(B24:E24)</f>
        <v/>
      </c>
    </row>
    <row r="25">
      <c r="A25" s="1" t="n">
        <v>2047</v>
      </c>
      <c r="B25" s="1">
        <f>'5_Elec_Demand_Cost'!B24*0.3580</f>
        <v/>
      </c>
      <c r="C25" s="1">
        <f>'5_Elec_Demand_Cost'!B24*0.3780</f>
        <v/>
      </c>
      <c r="D25" s="1">
        <f>'5_Elec_Demand_Cost'!B24*0.0930</f>
        <v/>
      </c>
      <c r="E25" s="1">
        <f>'5_Elec_Demand_Cost'!B24*0.1720</f>
        <v/>
      </c>
      <c r="F25" s="1">
        <f>SUM(B25:E25)</f>
        <v/>
      </c>
    </row>
    <row r="26">
      <c r="A26" s="1" t="n">
        <v>2048</v>
      </c>
      <c r="B26" s="1">
        <f>'5_Elec_Demand_Cost'!B25*0.3580</f>
        <v/>
      </c>
      <c r="C26" s="1">
        <f>'5_Elec_Demand_Cost'!B25*0.3780</f>
        <v/>
      </c>
      <c r="D26" s="1">
        <f>'5_Elec_Demand_Cost'!B25*0.0930</f>
        <v/>
      </c>
      <c r="E26" s="1">
        <f>'5_Elec_Demand_Cost'!B25*0.1720</f>
        <v/>
      </c>
      <c r="F26" s="1">
        <f>SUM(B26:E26)</f>
        <v/>
      </c>
    </row>
    <row r="27">
      <c r="A27" s="1" t="n">
        <v>2049</v>
      </c>
      <c r="B27" s="1">
        <f>'5_Elec_Demand_Cost'!B26*0.3580</f>
        <v/>
      </c>
      <c r="C27" s="1">
        <f>'5_Elec_Demand_Cost'!B26*0.3780</f>
        <v/>
      </c>
      <c r="D27" s="1">
        <f>'5_Elec_Demand_Cost'!B26*0.0930</f>
        <v/>
      </c>
      <c r="E27" s="1">
        <f>'5_Elec_Demand_Cost'!B26*0.1720</f>
        <v/>
      </c>
      <c r="F27" s="1">
        <f>SUM(B27:E27)</f>
        <v/>
      </c>
    </row>
    <row r="28">
      <c r="A28" s="1" t="n">
        <v>2050</v>
      </c>
      <c r="B28" s="1">
        <f>'5_Elec_Demand_Cost'!B27*0.3580</f>
        <v/>
      </c>
      <c r="C28" s="1">
        <f>'5_Elec_Demand_Cost'!B27*0.3780</f>
        <v/>
      </c>
      <c r="D28" s="1">
        <f>'5_Elec_Demand_Cost'!B27*0.0930</f>
        <v/>
      </c>
      <c r="E28" s="1">
        <f>'5_Elec_Demand_Cost'!B27*0.1720</f>
        <v/>
      </c>
      <c r="F28" s="1">
        <f>SUM(B28:E28)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4" customWidth="1" min="5" max="5"/>
    <col width="12" customWidth="1" min="6" max="6"/>
    <col width="12" customWidth="1" min="7" max="7"/>
  </cols>
  <sheetData>
    <row r="1">
      <c r="A1" s="4" t="inlineStr">
        <is>
          <t>Product</t>
        </is>
      </c>
      <c r="B1" s="4" t="inlineStr">
        <is>
          <t>Company</t>
        </is>
      </c>
      <c r="C1" s="4" t="inlineStr">
        <is>
          <t>Location</t>
        </is>
      </c>
      <c r="D1" s="4" t="inlineStr">
        <is>
          <t>Complex</t>
        </is>
      </c>
      <c r="E1" s="4" t="inlineStr">
        <is>
          <t>Capacity (kt)</t>
        </is>
      </c>
      <c r="F1" s="4" t="inlineStr">
        <is>
          <t>Year Built</t>
        </is>
      </c>
      <c r="G1" s="4" t="inlineStr">
        <is>
          <t>Age (2025)</t>
        </is>
      </c>
    </row>
    <row r="2">
      <c r="A2" s="1" t="inlineStr">
        <is>
          <t>Ethylene</t>
        </is>
      </c>
      <c r="B2" s="1" t="inlineStr">
        <is>
          <t>Lotte Chemical</t>
        </is>
      </c>
      <c r="C2" s="1" t="inlineStr">
        <is>
          <t>Daesan</t>
        </is>
      </c>
      <c r="D2" s="1" t="inlineStr">
        <is>
          <t>Daesan Complex</t>
        </is>
      </c>
      <c r="E2" s="1" t="n">
        <v>1100</v>
      </c>
      <c r="F2" s="1" t="n">
        <v>1991</v>
      </c>
      <c r="G2" s="1" t="n">
        <v>34</v>
      </c>
    </row>
    <row r="3">
      <c r="A3" s="1" t="inlineStr">
        <is>
          <t>Ethylene</t>
        </is>
      </c>
      <c r="B3" s="1" t="inlineStr">
        <is>
          <t>HD Hyundai Chemical</t>
        </is>
      </c>
      <c r="C3" s="1" t="inlineStr">
        <is>
          <t>Daesan</t>
        </is>
      </c>
      <c r="D3" s="1" t="inlineStr">
        <is>
          <t>Daesan Complex</t>
        </is>
      </c>
      <c r="E3" s="1" t="n">
        <v>850</v>
      </c>
      <c r="F3" s="1" t="n">
        <v>2021</v>
      </c>
      <c r="G3" s="1" t="n">
        <v>4</v>
      </c>
    </row>
    <row r="4">
      <c r="A4" s="1" t="inlineStr">
        <is>
          <t>Ethylene</t>
        </is>
      </c>
      <c r="B4" s="1" t="inlineStr">
        <is>
          <t>LG Chem</t>
        </is>
      </c>
      <c r="C4" s="1" t="inlineStr">
        <is>
          <t>Daesan</t>
        </is>
      </c>
      <c r="D4" s="1" t="inlineStr">
        <is>
          <t>Daesan Complex</t>
        </is>
      </c>
      <c r="E4" s="1" t="n">
        <v>1300</v>
      </c>
      <c r="F4" s="1" t="n">
        <v>1991</v>
      </c>
      <c r="G4" s="1" t="n">
        <v>34</v>
      </c>
    </row>
    <row r="5">
      <c r="A5" s="1" t="inlineStr">
        <is>
          <t>Ethylene</t>
        </is>
      </c>
      <c r="B5" s="1" t="inlineStr">
        <is>
          <t>Hanwha TotalEnergies</t>
        </is>
      </c>
      <c r="C5" s="1" t="inlineStr">
        <is>
          <t>Daesan</t>
        </is>
      </c>
      <c r="D5" s="1" t="inlineStr">
        <is>
          <t>Daesan Complex</t>
        </is>
      </c>
      <c r="E5" s="1" t="n">
        <v>1525</v>
      </c>
      <c r="F5" s="1" t="n">
        <v>1991</v>
      </c>
      <c r="G5" s="1" t="n">
        <v>34</v>
      </c>
    </row>
    <row r="6">
      <c r="A6" s="1" t="inlineStr">
        <is>
          <t>Ethylene</t>
        </is>
      </c>
      <c r="B6" s="1" t="inlineStr">
        <is>
          <t>Lotte Chemical</t>
        </is>
      </c>
      <c r="C6" s="1" t="inlineStr">
        <is>
          <t>Yeosu</t>
        </is>
      </c>
      <c r="D6" s="1" t="inlineStr">
        <is>
          <t>Yeosu Complex</t>
        </is>
      </c>
      <c r="E6" s="1" t="n">
        <v>1230</v>
      </c>
      <c r="F6" s="1" t="n">
        <v>1992</v>
      </c>
      <c r="G6" s="1" t="n">
        <v>33</v>
      </c>
    </row>
    <row r="7">
      <c r="A7" s="1" t="inlineStr">
        <is>
          <t>Ethylene</t>
        </is>
      </c>
      <c r="B7" s="1" t="inlineStr">
        <is>
          <t>LG Chem</t>
        </is>
      </c>
      <c r="C7" s="1" t="inlineStr">
        <is>
          <t>Yeosu</t>
        </is>
      </c>
      <c r="D7" s="1" t="inlineStr">
        <is>
          <t>Yeosu Complex</t>
        </is>
      </c>
      <c r="E7" s="1" t="n">
        <v>1030</v>
      </c>
      <c r="F7" s="1" t="n">
        <v>2021</v>
      </c>
      <c r="G7" s="1" t="n">
        <v>4</v>
      </c>
    </row>
    <row r="8">
      <c r="A8" s="1" t="inlineStr">
        <is>
          <t>Ethylene</t>
        </is>
      </c>
      <c r="B8" s="1" t="inlineStr">
        <is>
          <t>Yeochon NCC</t>
        </is>
      </c>
      <c r="C8" s="1" t="inlineStr">
        <is>
          <t>Yeosu</t>
        </is>
      </c>
      <c r="D8" s="1" t="inlineStr">
        <is>
          <t>Yeosu Complex</t>
        </is>
      </c>
      <c r="E8" s="1" t="n">
        <v>2285</v>
      </c>
      <c r="F8" s="1" t="n">
        <v>1979</v>
      </c>
      <c r="G8" s="1" t="n">
        <v>46</v>
      </c>
    </row>
    <row r="9">
      <c r="A9" s="1" t="inlineStr">
        <is>
          <t>Ethylene</t>
        </is>
      </c>
      <c r="B9" s="1" t="inlineStr">
        <is>
          <t>GS Caltex</t>
        </is>
      </c>
      <c r="C9" s="1" t="inlineStr">
        <is>
          <t>Yeosu</t>
        </is>
      </c>
      <c r="D9" s="1" t="inlineStr">
        <is>
          <t>Yeosu Complex</t>
        </is>
      </c>
      <c r="E9" s="1" t="n">
        <v>900</v>
      </c>
      <c r="F9" s="1" t="n">
        <v>2021</v>
      </c>
      <c r="G9" s="1" t="n">
        <v>4</v>
      </c>
    </row>
    <row r="10">
      <c r="A10" s="1" t="inlineStr">
        <is>
          <t>Ethylene</t>
        </is>
      </c>
      <c r="B10" s="1" t="inlineStr">
        <is>
          <t>Daehan Oil Chemical</t>
        </is>
      </c>
      <c r="C10" s="1" t="inlineStr">
        <is>
          <t>Onsan</t>
        </is>
      </c>
      <c r="D10" s="1" t="inlineStr">
        <is>
          <t>Ulsan Complex</t>
        </is>
      </c>
      <c r="E10" s="1" t="n">
        <v>900</v>
      </c>
      <c r="F10" s="1" t="n">
        <v>1991</v>
      </c>
      <c r="G10" s="1" t="n">
        <v>34</v>
      </c>
    </row>
    <row r="11">
      <c r="A11" s="1" t="inlineStr">
        <is>
          <t>Ethylene</t>
        </is>
      </c>
      <c r="B11" s="1" t="inlineStr">
        <is>
          <t>S-Oil</t>
        </is>
      </c>
      <c r="C11" s="1" t="inlineStr">
        <is>
          <t>Onsan</t>
        </is>
      </c>
      <c r="D11" s="1" t="inlineStr">
        <is>
          <t>Ulsan Complex</t>
        </is>
      </c>
      <c r="E11" s="1" t="n">
        <v>182</v>
      </c>
      <c r="F11" s="1" t="n">
        <v>2018</v>
      </c>
      <c r="G11" s="1" t="n">
        <v>7</v>
      </c>
    </row>
    <row r="12">
      <c r="A12" s="1" t="inlineStr">
        <is>
          <t>Ethylene</t>
        </is>
      </c>
      <c r="B12" s="1" t="inlineStr">
        <is>
          <t>SK Geocentric</t>
        </is>
      </c>
      <c r="C12" s="1" t="inlineStr">
        <is>
          <t>Ulsan</t>
        </is>
      </c>
      <c r="D12" s="1" t="inlineStr">
        <is>
          <t>Ulsan Complex</t>
        </is>
      </c>
      <c r="E12" s="1" t="n">
        <v>660</v>
      </c>
      <c r="F12" s="1" t="n">
        <v>1989</v>
      </c>
      <c r="G12" s="1" t="n">
        <v>36</v>
      </c>
    </row>
    <row r="13">
      <c r="A13" s="1" t="inlineStr">
        <is>
          <t>Propylene</t>
        </is>
      </c>
      <c r="B13" s="1" t="inlineStr">
        <is>
          <t>Lotte Chemical</t>
        </is>
      </c>
      <c r="C13" s="1" t="inlineStr">
        <is>
          <t>Daesan</t>
        </is>
      </c>
      <c r="D13" s="1" t="inlineStr">
        <is>
          <t>Daesan Complex</t>
        </is>
      </c>
      <c r="E13" s="1" t="n">
        <v>550</v>
      </c>
      <c r="F13" s="1" t="n">
        <v>1997</v>
      </c>
      <c r="G13" s="1" t="n">
        <v>28</v>
      </c>
    </row>
    <row r="14">
      <c r="A14" s="1" t="inlineStr">
        <is>
          <t>Propylene</t>
        </is>
      </c>
      <c r="B14" s="1" t="inlineStr">
        <is>
          <t>HDHyundai Oilbank</t>
        </is>
      </c>
      <c r="C14" s="1" t="inlineStr">
        <is>
          <t>Daesan</t>
        </is>
      </c>
      <c r="D14" s="1" t="inlineStr">
        <is>
          <t>Daesan Complex</t>
        </is>
      </c>
      <c r="E14" s="1" t="n">
        <v>420</v>
      </c>
      <c r="F14" s="1" t="n">
        <v>2011</v>
      </c>
      <c r="G14" s="1" t="n">
        <v>14</v>
      </c>
    </row>
    <row r="15">
      <c r="A15" s="1" t="inlineStr">
        <is>
          <t>Propylene</t>
        </is>
      </c>
      <c r="B15" s="1" t="inlineStr">
        <is>
          <t>HD Hyundai Chemical</t>
        </is>
      </c>
      <c r="C15" s="1" t="inlineStr">
        <is>
          <t>Daesan</t>
        </is>
      </c>
      <c r="D15" s="1" t="inlineStr">
        <is>
          <t>Daesan Complex</t>
        </is>
      </c>
      <c r="E15" s="1" t="n">
        <v>451</v>
      </c>
      <c r="F15" s="1" t="n">
        <v>2021</v>
      </c>
      <c r="G15" s="1" t="n">
        <v>4</v>
      </c>
    </row>
    <row r="16">
      <c r="A16" s="1" t="inlineStr">
        <is>
          <t>Propylene</t>
        </is>
      </c>
      <c r="B16" s="1" t="inlineStr">
        <is>
          <t>LG Chem</t>
        </is>
      </c>
      <c r="C16" s="1" t="inlineStr">
        <is>
          <t>Daesan</t>
        </is>
      </c>
      <c r="D16" s="1" t="inlineStr">
        <is>
          <t>Daesan Complex</t>
        </is>
      </c>
      <c r="E16" s="1" t="n">
        <v>680</v>
      </c>
      <c r="F16" s="1" t="n">
        <v>1991</v>
      </c>
      <c r="G16" s="1" t="n">
        <v>34</v>
      </c>
    </row>
    <row r="17">
      <c r="A17" s="1" t="inlineStr">
        <is>
          <t>Propylene</t>
        </is>
      </c>
      <c r="B17" s="1" t="inlineStr">
        <is>
          <t>Hanwha TotalEnergies</t>
        </is>
      </c>
      <c r="C17" s="1" t="inlineStr">
        <is>
          <t>Daesan</t>
        </is>
      </c>
      <c r="D17" s="1" t="inlineStr">
        <is>
          <t>Daesan Complex</t>
        </is>
      </c>
      <c r="E17" s="1" t="n">
        <v>1064</v>
      </c>
      <c r="F17" s="1" t="n">
        <v>1991</v>
      </c>
      <c r="G17" s="1" t="n">
        <v>34</v>
      </c>
    </row>
    <row r="18">
      <c r="A18" s="1" t="inlineStr">
        <is>
          <t>Propylene</t>
        </is>
      </c>
      <c r="B18" s="1" t="inlineStr">
        <is>
          <t>Lotte Chemical</t>
        </is>
      </c>
      <c r="C18" s="1" t="inlineStr">
        <is>
          <t>Yeosu</t>
        </is>
      </c>
      <c r="D18" s="1" t="inlineStr">
        <is>
          <t>Yeosu Complex</t>
        </is>
      </c>
      <c r="E18" s="1" t="n">
        <v>641</v>
      </c>
      <c r="F18" s="1" t="n">
        <v>1992</v>
      </c>
      <c r="G18" s="1" t="n">
        <v>33</v>
      </c>
    </row>
    <row r="19">
      <c r="A19" s="1" t="inlineStr">
        <is>
          <t>Propylene</t>
        </is>
      </c>
      <c r="B19" s="1" t="inlineStr">
        <is>
          <t>LG Chem</t>
        </is>
      </c>
      <c r="C19" s="1" t="inlineStr">
        <is>
          <t>Yeosu</t>
        </is>
      </c>
      <c r="D19" s="1" t="inlineStr">
        <is>
          <t>Yeosu Complex</t>
        </is>
      </c>
      <c r="E19" s="1" t="n">
        <v>1300</v>
      </c>
      <c r="F19" s="1" t="n">
        <v>2021</v>
      </c>
      <c r="G19" s="1" t="n">
        <v>4</v>
      </c>
    </row>
    <row r="20">
      <c r="A20" s="1" t="inlineStr">
        <is>
          <t>Propylene</t>
        </is>
      </c>
      <c r="B20" s="1" t="inlineStr">
        <is>
          <t>Yeochon NCC</t>
        </is>
      </c>
      <c r="C20" s="1" t="inlineStr">
        <is>
          <t>Yeosu</t>
        </is>
      </c>
      <c r="D20" s="1" t="inlineStr">
        <is>
          <t>Yeosu Complex</t>
        </is>
      </c>
      <c r="E20" s="1" t="n">
        <v>1289</v>
      </c>
      <c r="F20" s="1" t="n">
        <v>1979</v>
      </c>
      <c r="G20" s="1" t="n">
        <v>46</v>
      </c>
    </row>
    <row r="21">
      <c r="A21" s="1" t="inlineStr">
        <is>
          <t>Propylene</t>
        </is>
      </c>
      <c r="B21" s="1" t="inlineStr">
        <is>
          <t>GS Caltex</t>
        </is>
      </c>
      <c r="C21" s="1" t="inlineStr">
        <is>
          <t>Yeosu</t>
        </is>
      </c>
      <c r="D21" s="1" t="inlineStr">
        <is>
          <t>Yeosu Complex</t>
        </is>
      </c>
      <c r="E21" s="1" t="n">
        <v>970</v>
      </c>
      <c r="F21" s="1" t="n">
        <v>2021</v>
      </c>
      <c r="G21" s="1" t="n">
        <v>4</v>
      </c>
    </row>
    <row r="22">
      <c r="A22" s="1" t="inlineStr">
        <is>
          <t>Propylene</t>
        </is>
      </c>
      <c r="B22" s="1" t="inlineStr">
        <is>
          <t>Daehan Oil Chemical</t>
        </is>
      </c>
      <c r="C22" s="1" t="inlineStr">
        <is>
          <t>Onsan</t>
        </is>
      </c>
      <c r="D22" s="1" t="inlineStr">
        <is>
          <t>Ulsan Complex</t>
        </is>
      </c>
      <c r="E22" s="1" t="n">
        <v>560</v>
      </c>
      <c r="F22" s="1" t="n">
        <v>1991</v>
      </c>
      <c r="G22" s="1" t="n">
        <v>34</v>
      </c>
    </row>
    <row r="23">
      <c r="A23" s="1" t="inlineStr">
        <is>
          <t>Propylene</t>
        </is>
      </c>
      <c r="B23" s="1" t="inlineStr">
        <is>
          <t>S-Oil</t>
        </is>
      </c>
      <c r="C23" s="1" t="inlineStr">
        <is>
          <t>Onsan</t>
        </is>
      </c>
      <c r="D23" s="1" t="inlineStr">
        <is>
          <t>Ulsan Complex</t>
        </is>
      </c>
      <c r="E23" s="1" t="n">
        <v>840</v>
      </c>
      <c r="F23" s="1" t="n">
        <v>2018</v>
      </c>
      <c r="G23" s="1" t="n">
        <v>7</v>
      </c>
    </row>
    <row r="24">
      <c r="A24" s="1" t="inlineStr">
        <is>
          <t>Propylene</t>
        </is>
      </c>
      <c r="B24" s="1" t="inlineStr">
        <is>
          <t>SK Advanced</t>
        </is>
      </c>
      <c r="C24" s="1" t="inlineStr">
        <is>
          <t>Ulsan</t>
        </is>
      </c>
      <c r="D24" s="1" t="inlineStr">
        <is>
          <t>Ulsan Complex</t>
        </is>
      </c>
      <c r="E24" s="1" t="n">
        <v>600</v>
      </c>
      <c r="F24" s="1" t="n">
        <v>2016</v>
      </c>
      <c r="G24" s="1" t="n">
        <v>9</v>
      </c>
    </row>
    <row r="25">
      <c r="A25" s="1" t="inlineStr">
        <is>
          <t>Propylene</t>
        </is>
      </c>
      <c r="B25" s="1" t="inlineStr">
        <is>
          <t>SK Energy</t>
        </is>
      </c>
      <c r="C25" s="1" t="inlineStr">
        <is>
          <t>Ulsan</t>
        </is>
      </c>
      <c r="D25" s="1" t="inlineStr">
        <is>
          <t>Ulsan Complex</t>
        </is>
      </c>
      <c r="E25" s="1" t="n">
        <v>620</v>
      </c>
      <c r="F25" s="1" t="n">
        <v>1996</v>
      </c>
      <c r="G25" s="1" t="n">
        <v>29</v>
      </c>
    </row>
    <row r="26">
      <c r="A26" s="1" t="inlineStr">
        <is>
          <t>Propylene</t>
        </is>
      </c>
      <c r="B26" s="1" t="inlineStr">
        <is>
          <t>SK Geocentric</t>
        </is>
      </c>
      <c r="C26" s="1" t="inlineStr">
        <is>
          <t>Ulsan</t>
        </is>
      </c>
      <c r="D26" s="1" t="inlineStr">
        <is>
          <t>Ulsan Complex</t>
        </is>
      </c>
      <c r="E26" s="1" t="n">
        <v>380</v>
      </c>
      <c r="F26" s="1" t="n">
        <v>1989</v>
      </c>
      <c r="G26" s="1" t="n">
        <v>36</v>
      </c>
    </row>
    <row r="27">
      <c r="A27" s="1" t="inlineStr">
        <is>
          <t>Propylene</t>
        </is>
      </c>
      <c r="B27" s="1" t="inlineStr">
        <is>
          <t>Taekwang Industrial</t>
        </is>
      </c>
      <c r="C27" s="1" t="inlineStr">
        <is>
          <t>Ulsan</t>
        </is>
      </c>
      <c r="D27" s="1" t="inlineStr">
        <is>
          <t>Ulsan Complex</t>
        </is>
      </c>
      <c r="E27" s="1" t="n">
        <v>300</v>
      </c>
      <c r="F27" s="1" t="n">
        <v>1997</v>
      </c>
      <c r="G27" s="1" t="n">
        <v>28</v>
      </c>
    </row>
    <row r="28">
      <c r="A28" s="1" t="inlineStr">
        <is>
          <t>Propylene</t>
        </is>
      </c>
      <c r="B28" s="1" t="inlineStr">
        <is>
          <t>Hyosung Chemical</t>
        </is>
      </c>
      <c r="C28" s="1" t="inlineStr">
        <is>
          <t>Ulsan</t>
        </is>
      </c>
      <c r="D28" s="1" t="inlineStr">
        <is>
          <t>Ulsan Complex</t>
        </is>
      </c>
      <c r="E28" s="1" t="n">
        <v>500</v>
      </c>
      <c r="F28" s="1" t="n">
        <v>1991</v>
      </c>
      <c r="G28" s="1" t="n">
        <v>34</v>
      </c>
    </row>
    <row r="29">
      <c r="A29" s="1" t="inlineStr">
        <is>
          <t>Butadiene</t>
        </is>
      </c>
      <c r="B29" s="1" t="inlineStr">
        <is>
          <t>Lotte Chemical</t>
        </is>
      </c>
      <c r="C29" s="1" t="inlineStr">
        <is>
          <t>Daesan</t>
        </is>
      </c>
      <c r="D29" s="1" t="inlineStr">
        <is>
          <t>Daesan Complex</t>
        </is>
      </c>
      <c r="E29" s="1" t="n">
        <v>190</v>
      </c>
      <c r="F29" s="1" t="n">
        <v>1997</v>
      </c>
      <c r="G29" s="1" t="n">
        <v>28</v>
      </c>
    </row>
    <row r="30">
      <c r="A30" s="1" t="inlineStr">
        <is>
          <t>Butadiene</t>
        </is>
      </c>
      <c r="B30" s="1" t="inlineStr">
        <is>
          <t>HD Hyundai Chemical</t>
        </is>
      </c>
      <c r="C30" s="1" t="inlineStr">
        <is>
          <t>Daesan</t>
        </is>
      </c>
      <c r="D30" s="1" t="inlineStr">
        <is>
          <t>Daesan Complex</t>
        </is>
      </c>
      <c r="E30" s="1" t="n">
        <v>163</v>
      </c>
      <c r="F30" s="1" t="n">
        <v>2021</v>
      </c>
      <c r="G30" s="1" t="n">
        <v>4</v>
      </c>
    </row>
    <row r="31">
      <c r="A31" s="1" t="inlineStr">
        <is>
          <t>Butadiene</t>
        </is>
      </c>
      <c r="B31" s="1" t="inlineStr">
        <is>
          <t>LG Chem</t>
        </is>
      </c>
      <c r="C31" s="1" t="inlineStr">
        <is>
          <t>Daesan</t>
        </is>
      </c>
      <c r="D31" s="1" t="inlineStr">
        <is>
          <t>Daesan Complex</t>
        </is>
      </c>
      <c r="E31" s="1" t="n">
        <v>200</v>
      </c>
      <c r="F31" s="1" t="n">
        <v>1991</v>
      </c>
      <c r="G31" s="1" t="n">
        <v>34</v>
      </c>
    </row>
    <row r="32">
      <c r="A32" s="1" t="inlineStr">
        <is>
          <t>Butadiene</t>
        </is>
      </c>
      <c r="B32" s="1" t="inlineStr">
        <is>
          <t>Hanwha TotalEnergies</t>
        </is>
      </c>
      <c r="C32" s="1" t="inlineStr">
        <is>
          <t>Daesan</t>
        </is>
      </c>
      <c r="D32" s="1" t="inlineStr">
        <is>
          <t>Daesan Complex</t>
        </is>
      </c>
      <c r="E32" s="1" t="n">
        <v>150</v>
      </c>
      <c r="F32" s="1" t="n">
        <v>1991</v>
      </c>
      <c r="G32" s="1" t="n">
        <v>34</v>
      </c>
    </row>
    <row r="33">
      <c r="A33" s="1" t="inlineStr">
        <is>
          <t>Butadiene</t>
        </is>
      </c>
      <c r="B33" s="1" t="inlineStr">
        <is>
          <t>Kumho Petrochemical</t>
        </is>
      </c>
      <c r="C33" s="1" t="inlineStr">
        <is>
          <t>Yeosu</t>
        </is>
      </c>
      <c r="D33" s="1" t="inlineStr">
        <is>
          <t>Yeosu Complex</t>
        </is>
      </c>
      <c r="E33" s="1" t="n">
        <v>147</v>
      </c>
      <c r="F33" s="1" t="n">
        <v>1992</v>
      </c>
      <c r="G33" s="1" t="n">
        <v>33</v>
      </c>
    </row>
    <row r="34">
      <c r="A34" s="1" t="inlineStr">
        <is>
          <t>Butadiene</t>
        </is>
      </c>
      <c r="B34" s="1" t="inlineStr">
        <is>
          <t>Lotte GS Chemical</t>
        </is>
      </c>
      <c r="C34" s="1" t="inlineStr">
        <is>
          <t>Yeosu</t>
        </is>
      </c>
      <c r="D34" s="1" t="inlineStr">
        <is>
          <t>Yeosu Complex</t>
        </is>
      </c>
      <c r="E34" s="1" t="n">
        <v>130</v>
      </c>
      <c r="F34" s="1" t="n">
        <v>2022</v>
      </c>
      <c r="G34" s="1" t="n">
        <v>3</v>
      </c>
    </row>
    <row r="35">
      <c r="A35" s="1" t="inlineStr">
        <is>
          <t>Butadiene</t>
        </is>
      </c>
      <c r="B35" s="1" t="inlineStr">
        <is>
          <t>Lotte Chemical</t>
        </is>
      </c>
      <c r="C35" s="1" t="inlineStr">
        <is>
          <t>Yeosu</t>
        </is>
      </c>
      <c r="D35" s="1" t="inlineStr">
        <is>
          <t>Yeosu Complex</t>
        </is>
      </c>
      <c r="E35" s="1" t="n">
        <v>160</v>
      </c>
      <c r="F35" s="1" t="n">
        <v>2011</v>
      </c>
      <c r="G35" s="1" t="n">
        <v>14</v>
      </c>
    </row>
    <row r="36">
      <c r="A36" s="1" t="inlineStr">
        <is>
          <t>Butadiene</t>
        </is>
      </c>
      <c r="B36" s="1" t="inlineStr">
        <is>
          <t>LG Chem</t>
        </is>
      </c>
      <c r="C36" s="1" t="inlineStr">
        <is>
          <t>Yeosu</t>
        </is>
      </c>
      <c r="D36" s="1" t="inlineStr">
        <is>
          <t>Yeosu Complex</t>
        </is>
      </c>
      <c r="E36" s="1" t="n">
        <v>306</v>
      </c>
      <c r="F36" s="1" t="n">
        <v>1991</v>
      </c>
      <c r="G36" s="1" t="n">
        <v>34</v>
      </c>
    </row>
    <row r="37">
      <c r="A37" s="1" t="inlineStr">
        <is>
          <t>Butadiene</t>
        </is>
      </c>
      <c r="B37" s="1" t="inlineStr">
        <is>
          <t>Yeochon NCC</t>
        </is>
      </c>
      <c r="C37" s="1" t="inlineStr">
        <is>
          <t>Yeosu</t>
        </is>
      </c>
      <c r="D37" s="1" t="inlineStr">
        <is>
          <t>Yeosu Complex</t>
        </is>
      </c>
      <c r="E37" s="1" t="n">
        <v>378</v>
      </c>
      <c r="F37" s="1" t="n">
        <v>1992</v>
      </c>
      <c r="G37" s="1" t="n">
        <v>33</v>
      </c>
    </row>
    <row r="38">
      <c r="A38" s="1" t="inlineStr">
        <is>
          <t>Butadiene</t>
        </is>
      </c>
      <c r="B38" s="1" t="inlineStr">
        <is>
          <t>Kumho Petrochemical</t>
        </is>
      </c>
      <c r="C38" s="1" t="inlineStr">
        <is>
          <t>Ulsan</t>
        </is>
      </c>
      <c r="D38" s="1" t="inlineStr">
        <is>
          <t>Ulsan Complex</t>
        </is>
      </c>
      <c r="E38" s="1" t="n">
        <v>90</v>
      </c>
      <c r="F38" s="1" t="n">
        <v>1979</v>
      </c>
      <c r="G38" s="1" t="n">
        <v>46</v>
      </c>
    </row>
    <row r="39">
      <c r="A39" s="1" t="inlineStr">
        <is>
          <t>Butadiene</t>
        </is>
      </c>
      <c r="B39" s="1" t="inlineStr">
        <is>
          <t>Daehan Oil Chemical</t>
        </is>
      </c>
      <c r="C39" s="1" t="inlineStr">
        <is>
          <t>Ulsan</t>
        </is>
      </c>
      <c r="D39" s="1" t="inlineStr">
        <is>
          <t>Ulsan Complex</t>
        </is>
      </c>
      <c r="E39" s="1" t="n">
        <v>146</v>
      </c>
      <c r="F39" s="1" t="n">
        <v>2023</v>
      </c>
      <c r="G39" s="1" t="n">
        <v>2</v>
      </c>
    </row>
    <row r="40">
      <c r="A40" s="1" t="inlineStr">
        <is>
          <t>Butadiene</t>
        </is>
      </c>
      <c r="B40" s="1" t="inlineStr">
        <is>
          <t>SK Geocentric</t>
        </is>
      </c>
      <c r="C40" s="1" t="inlineStr">
        <is>
          <t>Ulsan</t>
        </is>
      </c>
      <c r="D40" s="1" t="inlineStr">
        <is>
          <t>Ulsan Complex</t>
        </is>
      </c>
      <c r="E40" s="1" t="n">
        <v>130</v>
      </c>
      <c r="F40" s="1" t="n">
        <v>1989</v>
      </c>
      <c r="G40" s="1" t="n">
        <v>36</v>
      </c>
    </row>
    <row r="42">
      <c r="A42" s="5" t="inlineStr">
        <is>
          <t>TOTAL</t>
        </is>
      </c>
      <c r="E42" t="n">
        <v>25317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NCC Energy Transition - Summary Dashboard</t>
        </is>
      </c>
      <c r="B1" s="1" t="inlineStr"/>
      <c r="C1" s="1" t="inlineStr"/>
      <c r="D1" s="1" t="inlineStr"/>
    </row>
    <row r="2">
      <c r="A2" s="1" t="inlineStr"/>
      <c r="B2" s="1" t="inlineStr"/>
      <c r="C2" s="1" t="inlineStr"/>
      <c r="D2" s="1" t="inlineStr"/>
    </row>
    <row r="3">
      <c r="A3" s="2">
        <f>== 2050 ENERGY DEMAND (Shaheen Scenario) ===</f>
        <v/>
      </c>
      <c r="B3" s="1" t="inlineStr"/>
      <c r="C3" s="1" t="inlineStr"/>
      <c r="D3" s="1" t="inlineStr"/>
    </row>
    <row r="4">
      <c r="A4" s="2" t="inlineStr">
        <is>
          <t>NCC-H2 Pathway</t>
        </is>
      </c>
      <c r="B4" s="2" t="inlineStr"/>
      <c r="C4" s="2" t="inlineStr"/>
      <c r="D4" s="2" t="inlineStr"/>
    </row>
    <row r="5">
      <c r="A5" s="1" t="inlineStr">
        <is>
          <t>H2 Demand</t>
        </is>
      </c>
      <c r="B5" s="1">
        <f>'4_H2_Demand_Cost'!B27</f>
        <v/>
      </c>
      <c r="C5" s="1" t="inlineStr">
        <is>
          <t>kt/year</t>
        </is>
      </c>
      <c r="D5" s="1" t="inlineStr"/>
    </row>
    <row r="6">
      <c r="A6" s="1" t="inlineStr">
        <is>
          <t>H2 Fuel Cost</t>
        </is>
      </c>
      <c r="B6" s="1">
        <f>'4_H2_Demand_Cost'!F27</f>
        <v/>
      </c>
      <c r="C6" s="1" t="inlineStr">
        <is>
          <t>$B/year</t>
        </is>
      </c>
      <c r="D6" s="1" t="inlineStr"/>
    </row>
    <row r="7">
      <c r="A7" s="1" t="inlineStr">
        <is>
          <t>Cumulative Cost (2030-2050)</t>
        </is>
      </c>
      <c r="B7" s="1">
        <f>'4_H2_Demand_Cost'!F28</f>
        <v/>
      </c>
      <c r="C7" s="1" t="inlineStr">
        <is>
          <t>$B</t>
        </is>
      </c>
      <c r="D7" s="1" t="inlineStr"/>
    </row>
    <row r="8">
      <c r="A8" s="1" t="inlineStr"/>
      <c r="B8" s="1" t="inlineStr"/>
      <c r="C8" s="1" t="inlineStr"/>
      <c r="D8" s="1" t="inlineStr"/>
    </row>
    <row r="9">
      <c r="A9" s="2" t="inlineStr">
        <is>
          <t>NCC-Electricity Pathway</t>
        </is>
      </c>
      <c r="B9" s="2" t="inlineStr"/>
      <c r="C9" s="2" t="inlineStr"/>
      <c r="D9" s="2" t="inlineStr"/>
    </row>
    <row r="10">
      <c r="A10" s="1" t="inlineStr">
        <is>
          <t>Electricity Demand</t>
        </is>
      </c>
      <c r="B10" s="1">
        <f>'5_Elec_Demand_Cost'!B27</f>
        <v/>
      </c>
      <c r="C10" s="1" t="inlineStr">
        <is>
          <t>TWh/year</t>
        </is>
      </c>
      <c r="D10" s="1" t="inlineStr"/>
    </row>
    <row r="11">
      <c r="A11" s="1" t="inlineStr">
        <is>
          <t>Electricity Cost</t>
        </is>
      </c>
      <c r="B11" s="1">
        <f>'5_Elec_Demand_Cost'!F27</f>
        <v/>
      </c>
      <c r="C11" s="1" t="inlineStr">
        <is>
          <t>$B/year</t>
        </is>
      </c>
      <c r="D11" s="1" t="inlineStr"/>
    </row>
    <row r="12">
      <c r="A12" s="1" t="inlineStr">
        <is>
          <t>Cumulative Cost (2030-2050)</t>
        </is>
      </c>
      <c r="B12" s="1">
        <f>'5_Elec_Demand_Cost'!F28</f>
        <v/>
      </c>
      <c r="C12" s="1" t="inlineStr">
        <is>
          <t>$B</t>
        </is>
      </c>
      <c r="D12" s="1" t="inlineStr"/>
    </row>
    <row r="13">
      <c r="A13" s="1" t="inlineStr"/>
      <c r="B13" s="1" t="inlineStr"/>
      <c r="C13" s="1" t="inlineStr"/>
      <c r="D13" s="1" t="inlineStr"/>
    </row>
    <row r="14">
      <c r="A14" s="2">
        <f>== REGIONAL DISTRIBUTION (2050, Shaheen) ===</f>
        <v/>
      </c>
      <c r="B14" s="1" t="inlineStr"/>
      <c r="C14" s="1" t="inlineStr"/>
      <c r="D14" s="1" t="inlineStr"/>
    </row>
    <row r="15">
      <c r="A15" s="2" t="inlineStr">
        <is>
          <t>Location</t>
        </is>
      </c>
      <c r="B15" s="2" t="inlineStr">
        <is>
          <t>H2 (kt)</t>
        </is>
      </c>
      <c r="C15" s="2" t="inlineStr">
        <is>
          <t>Electricity (TWh)</t>
        </is>
      </c>
      <c r="D15" s="2" t="inlineStr"/>
    </row>
    <row r="16">
      <c r="A16" s="1" t="inlineStr">
        <is>
          <t>Daesan</t>
        </is>
      </c>
      <c r="B16" s="1">
        <f>'7_Regional_H2'!B28</f>
        <v/>
      </c>
      <c r="C16" s="1">
        <f>'8_Regional_Elec'!B28</f>
        <v/>
      </c>
      <c r="D16" s="1" t="inlineStr"/>
    </row>
    <row r="17">
      <c r="A17" s="1" t="inlineStr">
        <is>
          <t>Yeosu</t>
        </is>
      </c>
      <c r="B17" s="1">
        <f>'7_Regional_H2'!C28</f>
        <v/>
      </c>
      <c r="C17" s="1">
        <f>'8_Regional_Elec'!C28</f>
        <v/>
      </c>
      <c r="D17" s="1" t="inlineStr"/>
    </row>
    <row r="18">
      <c r="A18" s="1" t="inlineStr">
        <is>
          <t>Ulsan</t>
        </is>
      </c>
      <c r="B18" s="1">
        <f>'7_Regional_H2'!D28</f>
        <v/>
      </c>
      <c r="C18" s="1">
        <f>'8_Regional_Elec'!D28</f>
        <v/>
      </c>
      <c r="D18" s="1" t="inlineStr"/>
    </row>
    <row r="19">
      <c r="A19" s="1" t="inlineStr">
        <is>
          <t>Onsan</t>
        </is>
      </c>
      <c r="B19" s="1">
        <f>'7_Regional_H2'!E28</f>
        <v/>
      </c>
      <c r="C19" s="1">
        <f>'8_Regional_Elec'!E28</f>
        <v/>
      </c>
      <c r="D19" s="1" t="inlineStr"/>
    </row>
    <row r="20">
      <c r="A20" s="1" t="inlineStr">
        <is>
          <t>TOTAL</t>
        </is>
      </c>
      <c r="B20" s="1">
        <f>'7_Regional_H2'!F28</f>
        <v/>
      </c>
      <c r="C20" s="1">
        <f>'8_Regional_Elec'!F28</f>
        <v/>
      </c>
      <c r="D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2025-11-27T09:23:11Z</dcterms:created>
  <dcterms:modified xmlns:dcterms="http://purl.org/dc/terms/" xmlns:xsi="http://www.w3.org/2001/XMLSchema-instance" xsi:type="dcterms:W3CDTF">2025-11-27T09:23:11Z</dcterms:modified>
</cp:coreProperties>
</file>