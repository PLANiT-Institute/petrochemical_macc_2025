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jinsupark/jinsu-coding/petrochemical_macc_2025/data/"/>
    </mc:Choice>
  </mc:AlternateContent>
  <xr:revisionPtr revIDLastSave="0" documentId="8_{BA6997EC-46EA-174F-A2A8-B77A89B62C33}" xr6:coauthVersionLast="47" xr6:coauthVersionMax="47" xr10:uidLastSave="{00000000-0000-0000-0000-000000000000}"/>
  <bookViews>
    <workbookView xWindow="4500" yWindow="500" windowWidth="29400" windowHeight="17180" activeTab="1" xr2:uid="{00000000-000D-0000-FFFF-FFFF00000000}"/>
  </bookViews>
  <sheets>
    <sheet name="1_Parameters" sheetId="1" r:id="rId1"/>
    <sheet name="2_Price_Trajectories" sheetId="2" r:id="rId2"/>
    <sheet name="3_Production_Scenarios" sheetId="3" r:id="rId3"/>
    <sheet name="4_H2_Demand_Cost" sheetId="4" r:id="rId4"/>
    <sheet name="5_Elec_Demand_Cost" sheetId="5" r:id="rId5"/>
    <sheet name="6_CAPEX_Analysis" sheetId="6" r:id="rId6"/>
    <sheet name="7_Regional_H2" sheetId="7" r:id="rId7"/>
    <sheet name="8_Regional_Elec" sheetId="8" r:id="rId8"/>
    <sheet name="9_NCC_Facilities" sheetId="9" r:id="rId9"/>
    <sheet name="10_Summary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0" l="1"/>
  <c r="E19" i="8"/>
  <c r="D19" i="8"/>
  <c r="C19" i="8"/>
  <c r="B19" i="8"/>
  <c r="F19" i="8" s="1"/>
  <c r="E18" i="8"/>
  <c r="D18" i="8"/>
  <c r="C18" i="8"/>
  <c r="B18" i="8"/>
  <c r="F18" i="8" s="1"/>
  <c r="E17" i="8"/>
  <c r="D17" i="8"/>
  <c r="C17" i="8"/>
  <c r="B17" i="8"/>
  <c r="F17" i="8" s="1"/>
  <c r="E16" i="8"/>
  <c r="D16" i="8"/>
  <c r="C16" i="8"/>
  <c r="B16" i="8"/>
  <c r="F16" i="8" s="1"/>
  <c r="E15" i="8"/>
  <c r="D15" i="8"/>
  <c r="C15" i="8"/>
  <c r="B15" i="8"/>
  <c r="F15" i="8" s="1"/>
  <c r="E14" i="8"/>
  <c r="D14" i="8"/>
  <c r="C14" i="8"/>
  <c r="B14" i="8"/>
  <c r="F14" i="8" s="1"/>
  <c r="E13" i="8"/>
  <c r="D13" i="8"/>
  <c r="C13" i="8"/>
  <c r="B13" i="8"/>
  <c r="F13" i="8" s="1"/>
  <c r="E12" i="8"/>
  <c r="D12" i="8"/>
  <c r="C12" i="8"/>
  <c r="B12" i="8"/>
  <c r="F12" i="8" s="1"/>
  <c r="E11" i="8"/>
  <c r="D11" i="8"/>
  <c r="C11" i="8"/>
  <c r="B11" i="8"/>
  <c r="F11" i="8" s="1"/>
  <c r="E10" i="8"/>
  <c r="D10" i="8"/>
  <c r="C10" i="8"/>
  <c r="B10" i="8"/>
  <c r="F10" i="8" s="1"/>
  <c r="E9" i="8"/>
  <c r="D9" i="8"/>
  <c r="C9" i="8"/>
  <c r="B9" i="8"/>
  <c r="F9" i="8" s="1"/>
  <c r="E8" i="8"/>
  <c r="D8" i="8"/>
  <c r="C8" i="8"/>
  <c r="B8" i="8"/>
  <c r="F8" i="8" s="1"/>
  <c r="E7" i="8"/>
  <c r="D7" i="8"/>
  <c r="C7" i="8"/>
  <c r="E6" i="8"/>
  <c r="D6" i="8"/>
  <c r="C6" i="8"/>
  <c r="B6" i="8"/>
  <c r="F6" i="8" s="1"/>
  <c r="E5" i="8"/>
  <c r="D5" i="8"/>
  <c r="C5" i="8"/>
  <c r="B5" i="8"/>
  <c r="F5" i="8" s="1"/>
  <c r="E4" i="8"/>
  <c r="D4" i="8"/>
  <c r="C4" i="8"/>
  <c r="B4" i="8"/>
  <c r="F4" i="8" s="1"/>
  <c r="E3" i="8"/>
  <c r="D3" i="8"/>
  <c r="C3" i="8"/>
  <c r="B3" i="8"/>
  <c r="F3" i="8" s="1"/>
  <c r="E28" i="7"/>
  <c r="B19" i="10" s="1"/>
  <c r="D28" i="7"/>
  <c r="B18" i="10" s="1"/>
  <c r="C28" i="7"/>
  <c r="B17" i="10" s="1"/>
  <c r="B28" i="7"/>
  <c r="E27" i="7"/>
  <c r="D27" i="7"/>
  <c r="C27" i="7"/>
  <c r="B27" i="7"/>
  <c r="F27" i="7" s="1"/>
  <c r="E26" i="7"/>
  <c r="D26" i="7"/>
  <c r="C26" i="7"/>
  <c r="B26" i="7"/>
  <c r="F26" i="7" s="1"/>
  <c r="E25" i="7"/>
  <c r="D25" i="7"/>
  <c r="C25" i="7"/>
  <c r="B25" i="7"/>
  <c r="F25" i="7" s="1"/>
  <c r="E24" i="7"/>
  <c r="D24" i="7"/>
  <c r="C24" i="7"/>
  <c r="B24" i="7"/>
  <c r="F24" i="7" s="1"/>
  <c r="E23" i="7"/>
  <c r="D23" i="7"/>
  <c r="C23" i="7"/>
  <c r="B23" i="7"/>
  <c r="F23" i="7" s="1"/>
  <c r="E22" i="7"/>
  <c r="D22" i="7"/>
  <c r="C22" i="7"/>
  <c r="B22" i="7"/>
  <c r="F22" i="7" s="1"/>
  <c r="E21" i="7"/>
  <c r="D21" i="7"/>
  <c r="C21" i="7"/>
  <c r="B21" i="7"/>
  <c r="F21" i="7" s="1"/>
  <c r="E20" i="7"/>
  <c r="D20" i="7"/>
  <c r="C20" i="7"/>
  <c r="B20" i="7"/>
  <c r="F20" i="7" s="1"/>
  <c r="E19" i="7"/>
  <c r="D19" i="7"/>
  <c r="C19" i="7"/>
  <c r="B19" i="7"/>
  <c r="F19" i="7" s="1"/>
  <c r="E18" i="7"/>
  <c r="D18" i="7"/>
  <c r="C18" i="7"/>
  <c r="B18" i="7"/>
  <c r="F18" i="7" s="1"/>
  <c r="E17" i="7"/>
  <c r="D17" i="7"/>
  <c r="C17" i="7"/>
  <c r="B17" i="7"/>
  <c r="F17" i="7" s="1"/>
  <c r="E16" i="7"/>
  <c r="D16" i="7"/>
  <c r="C16" i="7"/>
  <c r="B16" i="7"/>
  <c r="F16" i="7" s="1"/>
  <c r="E15" i="7"/>
  <c r="D15" i="7"/>
  <c r="C15" i="7"/>
  <c r="B15" i="7"/>
  <c r="F15" i="7" s="1"/>
  <c r="E14" i="7"/>
  <c r="D14" i="7"/>
  <c r="C14" i="7"/>
  <c r="B14" i="7"/>
  <c r="F14" i="7" s="1"/>
  <c r="E13" i="7"/>
  <c r="D13" i="7"/>
  <c r="C13" i="7"/>
  <c r="B13" i="7"/>
  <c r="F13" i="7" s="1"/>
  <c r="E12" i="7"/>
  <c r="D12" i="7"/>
  <c r="C12" i="7"/>
  <c r="B12" i="7"/>
  <c r="F12" i="7" s="1"/>
  <c r="E11" i="7"/>
  <c r="D11" i="7"/>
  <c r="C11" i="7"/>
  <c r="B11" i="7"/>
  <c r="F11" i="7" s="1"/>
  <c r="E10" i="7"/>
  <c r="D10" i="7"/>
  <c r="C10" i="7"/>
  <c r="B10" i="7"/>
  <c r="F10" i="7" s="1"/>
  <c r="E9" i="7"/>
  <c r="D9" i="7"/>
  <c r="C9" i="7"/>
  <c r="B9" i="7"/>
  <c r="F9" i="7" s="1"/>
  <c r="E8" i="7"/>
  <c r="D8" i="7"/>
  <c r="C8" i="7"/>
  <c r="E7" i="7"/>
  <c r="D7" i="7"/>
  <c r="C7" i="7"/>
  <c r="B7" i="7"/>
  <c r="F7" i="7" s="1"/>
  <c r="E6" i="7"/>
  <c r="D6" i="7"/>
  <c r="C6" i="7"/>
  <c r="B6" i="7"/>
  <c r="F6" i="7" s="1"/>
  <c r="E5" i="7"/>
  <c r="D5" i="7"/>
  <c r="C5" i="7"/>
  <c r="B5" i="7"/>
  <c r="F5" i="7" s="1"/>
  <c r="E4" i="7"/>
  <c r="D4" i="7"/>
  <c r="C4" i="7"/>
  <c r="B4" i="7"/>
  <c r="F4" i="7" s="1"/>
  <c r="E3" i="7"/>
  <c r="D3" i="7"/>
  <c r="C3" i="7"/>
  <c r="B3" i="7"/>
  <c r="F3" i="7" s="1"/>
  <c r="C13" i="6"/>
  <c r="D13" i="6" s="1"/>
  <c r="B13" i="6"/>
  <c r="C12" i="6"/>
  <c r="D12" i="6" s="1"/>
  <c r="B12" i="6"/>
  <c r="C11" i="6"/>
  <c r="B11" i="6"/>
  <c r="D11" i="6" s="1"/>
  <c r="C7" i="6"/>
  <c r="B7" i="6"/>
  <c r="D7" i="6" s="1"/>
  <c r="C6" i="6"/>
  <c r="D6" i="6" s="1"/>
  <c r="B6" i="6"/>
  <c r="C5" i="6"/>
  <c r="D5" i="6" s="1"/>
  <c r="B5" i="6"/>
  <c r="E27" i="5"/>
  <c r="D27" i="5"/>
  <c r="H27" i="5" s="1"/>
  <c r="C27" i="5"/>
  <c r="G27" i="5" s="1"/>
  <c r="B27" i="5"/>
  <c r="E26" i="5"/>
  <c r="D26" i="5"/>
  <c r="H26" i="5" s="1"/>
  <c r="C26" i="5"/>
  <c r="G26" i="5" s="1"/>
  <c r="B26" i="5"/>
  <c r="E25" i="5"/>
  <c r="D25" i="5"/>
  <c r="H25" i="5" s="1"/>
  <c r="C25" i="5"/>
  <c r="G25" i="5" s="1"/>
  <c r="B25" i="5"/>
  <c r="E24" i="5"/>
  <c r="D24" i="5"/>
  <c r="H24" i="5" s="1"/>
  <c r="C24" i="5"/>
  <c r="G24" i="5" s="1"/>
  <c r="B24" i="5"/>
  <c r="E23" i="5"/>
  <c r="D23" i="5"/>
  <c r="H23" i="5" s="1"/>
  <c r="C23" i="5"/>
  <c r="G23" i="5" s="1"/>
  <c r="B23" i="5"/>
  <c r="E22" i="5"/>
  <c r="D22" i="5"/>
  <c r="H22" i="5" s="1"/>
  <c r="C22" i="5"/>
  <c r="G22" i="5" s="1"/>
  <c r="B22" i="5"/>
  <c r="E21" i="5"/>
  <c r="D21" i="5"/>
  <c r="H21" i="5" s="1"/>
  <c r="C21" i="5"/>
  <c r="G21" i="5" s="1"/>
  <c r="B21" i="5"/>
  <c r="E20" i="5"/>
  <c r="D20" i="5"/>
  <c r="H20" i="5" s="1"/>
  <c r="C20" i="5"/>
  <c r="G20" i="5" s="1"/>
  <c r="B20" i="5"/>
  <c r="E19" i="5"/>
  <c r="D19" i="5"/>
  <c r="H19" i="5" s="1"/>
  <c r="C19" i="5"/>
  <c r="G19" i="5" s="1"/>
  <c r="B19" i="5"/>
  <c r="H18" i="5"/>
  <c r="G18" i="5"/>
  <c r="F18" i="5"/>
  <c r="E18" i="5"/>
  <c r="D18" i="5"/>
  <c r="C18" i="5"/>
  <c r="B18" i="5"/>
  <c r="E17" i="5"/>
  <c r="D17" i="5"/>
  <c r="H17" i="5" s="1"/>
  <c r="C17" i="5"/>
  <c r="G17" i="5" s="1"/>
  <c r="B17" i="5"/>
  <c r="F17" i="5" s="1"/>
  <c r="E16" i="5"/>
  <c r="D16" i="5"/>
  <c r="H16" i="5" s="1"/>
  <c r="C16" i="5"/>
  <c r="G16" i="5" s="1"/>
  <c r="B16" i="5"/>
  <c r="F16" i="5" s="1"/>
  <c r="E15" i="5"/>
  <c r="D15" i="5"/>
  <c r="H15" i="5" s="1"/>
  <c r="C15" i="5"/>
  <c r="G15" i="5" s="1"/>
  <c r="B15" i="5"/>
  <c r="F15" i="5" s="1"/>
  <c r="E14" i="5"/>
  <c r="D14" i="5"/>
  <c r="H14" i="5" s="1"/>
  <c r="C14" i="5"/>
  <c r="G14" i="5" s="1"/>
  <c r="B14" i="5"/>
  <c r="F14" i="5" s="1"/>
  <c r="E13" i="5"/>
  <c r="D13" i="5"/>
  <c r="H13" i="5" s="1"/>
  <c r="C13" i="5"/>
  <c r="G13" i="5" s="1"/>
  <c r="B13" i="5"/>
  <c r="F13" i="5" s="1"/>
  <c r="E12" i="5"/>
  <c r="D12" i="5"/>
  <c r="H12" i="5" s="1"/>
  <c r="C12" i="5"/>
  <c r="G12" i="5" s="1"/>
  <c r="B12" i="5"/>
  <c r="F12" i="5" s="1"/>
  <c r="E11" i="5"/>
  <c r="D11" i="5"/>
  <c r="H11" i="5" s="1"/>
  <c r="C11" i="5"/>
  <c r="G11" i="5" s="1"/>
  <c r="B11" i="5"/>
  <c r="F11" i="5" s="1"/>
  <c r="E10" i="5"/>
  <c r="D10" i="5"/>
  <c r="H10" i="5" s="1"/>
  <c r="C10" i="5"/>
  <c r="G10" i="5" s="1"/>
  <c r="B10" i="5"/>
  <c r="F10" i="5" s="1"/>
  <c r="E9" i="5"/>
  <c r="D9" i="5"/>
  <c r="H9" i="5" s="1"/>
  <c r="C9" i="5"/>
  <c r="G9" i="5" s="1"/>
  <c r="B9" i="5"/>
  <c r="F9" i="5" s="1"/>
  <c r="E8" i="5"/>
  <c r="D8" i="5"/>
  <c r="H8" i="5" s="1"/>
  <c r="C8" i="5"/>
  <c r="G8" i="5" s="1"/>
  <c r="B8" i="5"/>
  <c r="F8" i="5" s="1"/>
  <c r="E7" i="5"/>
  <c r="D7" i="5"/>
  <c r="H7" i="5" s="1"/>
  <c r="H28" i="5" s="1"/>
  <c r="C19" i="6" s="1"/>
  <c r="C7" i="5"/>
  <c r="G7" i="5" s="1"/>
  <c r="G28" i="5" s="1"/>
  <c r="C18" i="6" s="1"/>
  <c r="B7" i="5"/>
  <c r="F7" i="5" s="1"/>
  <c r="E6" i="5"/>
  <c r="D6" i="5"/>
  <c r="H6" i="5" s="1"/>
  <c r="C6" i="5"/>
  <c r="G6" i="5" s="1"/>
  <c r="B6" i="5"/>
  <c r="E5" i="5"/>
  <c r="D5" i="5"/>
  <c r="H5" i="5" s="1"/>
  <c r="C5" i="5"/>
  <c r="G5" i="5" s="1"/>
  <c r="B5" i="5"/>
  <c r="F5" i="5" s="1"/>
  <c r="E4" i="5"/>
  <c r="D4" i="5"/>
  <c r="H4" i="5" s="1"/>
  <c r="C4" i="5"/>
  <c r="G4" i="5" s="1"/>
  <c r="B4" i="5"/>
  <c r="F4" i="5" s="1"/>
  <c r="E3" i="5"/>
  <c r="D3" i="5"/>
  <c r="H3" i="5" s="1"/>
  <c r="C3" i="5"/>
  <c r="G3" i="5" s="1"/>
  <c r="B3" i="5"/>
  <c r="F3" i="5" s="1"/>
  <c r="E2" i="5"/>
  <c r="D2" i="5"/>
  <c r="H2" i="5" s="1"/>
  <c r="C2" i="5"/>
  <c r="G2" i="5" s="1"/>
  <c r="B2" i="5"/>
  <c r="F2" i="5" s="1"/>
  <c r="E27" i="4"/>
  <c r="F27" i="4" s="1"/>
  <c r="B6" i="10" s="1"/>
  <c r="D27" i="4"/>
  <c r="H27" i="4" s="1"/>
  <c r="C27" i="4"/>
  <c r="G27" i="4" s="1"/>
  <c r="B27" i="4"/>
  <c r="E26" i="4"/>
  <c r="D26" i="4"/>
  <c r="H26" i="4" s="1"/>
  <c r="C26" i="4"/>
  <c r="G26" i="4" s="1"/>
  <c r="B26" i="4"/>
  <c r="F26" i="4" s="1"/>
  <c r="E25" i="4"/>
  <c r="D25" i="4"/>
  <c r="H25" i="4" s="1"/>
  <c r="C25" i="4"/>
  <c r="G25" i="4" s="1"/>
  <c r="B25" i="4"/>
  <c r="F25" i="4" s="1"/>
  <c r="E24" i="4"/>
  <c r="D24" i="4"/>
  <c r="H24" i="4" s="1"/>
  <c r="C24" i="4"/>
  <c r="G24" i="4" s="1"/>
  <c r="B24" i="4"/>
  <c r="F24" i="4" s="1"/>
  <c r="E23" i="4"/>
  <c r="D23" i="4"/>
  <c r="H23" i="4" s="1"/>
  <c r="C23" i="4"/>
  <c r="G23" i="4" s="1"/>
  <c r="B23" i="4"/>
  <c r="F23" i="4" s="1"/>
  <c r="E22" i="4"/>
  <c r="D22" i="4"/>
  <c r="H22" i="4" s="1"/>
  <c r="C22" i="4"/>
  <c r="G22" i="4" s="1"/>
  <c r="B22" i="4"/>
  <c r="F22" i="4" s="1"/>
  <c r="E21" i="4"/>
  <c r="D21" i="4"/>
  <c r="H21" i="4" s="1"/>
  <c r="C21" i="4"/>
  <c r="G21" i="4" s="1"/>
  <c r="B21" i="4"/>
  <c r="F21" i="4" s="1"/>
  <c r="E20" i="4"/>
  <c r="D20" i="4"/>
  <c r="H20" i="4" s="1"/>
  <c r="C20" i="4"/>
  <c r="G20" i="4" s="1"/>
  <c r="B20" i="4"/>
  <c r="F20" i="4" s="1"/>
  <c r="E19" i="4"/>
  <c r="D19" i="4"/>
  <c r="H19" i="4" s="1"/>
  <c r="C19" i="4"/>
  <c r="G19" i="4" s="1"/>
  <c r="B19" i="4"/>
  <c r="F19" i="4" s="1"/>
  <c r="E18" i="4"/>
  <c r="D18" i="4"/>
  <c r="H18" i="4" s="1"/>
  <c r="C18" i="4"/>
  <c r="G18" i="4" s="1"/>
  <c r="B18" i="4"/>
  <c r="F18" i="4" s="1"/>
  <c r="E17" i="4"/>
  <c r="D17" i="4"/>
  <c r="H17" i="4" s="1"/>
  <c r="C17" i="4"/>
  <c r="G17" i="4" s="1"/>
  <c r="B17" i="4"/>
  <c r="F17" i="4" s="1"/>
  <c r="E16" i="4"/>
  <c r="D16" i="4"/>
  <c r="H16" i="4" s="1"/>
  <c r="C16" i="4"/>
  <c r="G16" i="4" s="1"/>
  <c r="B16" i="4"/>
  <c r="F16" i="4" s="1"/>
  <c r="E15" i="4"/>
  <c r="D15" i="4"/>
  <c r="H15" i="4" s="1"/>
  <c r="C15" i="4"/>
  <c r="G15" i="4" s="1"/>
  <c r="B15" i="4"/>
  <c r="F15" i="4" s="1"/>
  <c r="E14" i="4"/>
  <c r="D14" i="4"/>
  <c r="H14" i="4" s="1"/>
  <c r="C14" i="4"/>
  <c r="G14" i="4" s="1"/>
  <c r="B14" i="4"/>
  <c r="F14" i="4" s="1"/>
  <c r="E13" i="4"/>
  <c r="D13" i="4"/>
  <c r="H13" i="4" s="1"/>
  <c r="C13" i="4"/>
  <c r="G13" i="4" s="1"/>
  <c r="B13" i="4"/>
  <c r="F13" i="4" s="1"/>
  <c r="E12" i="4"/>
  <c r="D12" i="4"/>
  <c r="H12" i="4" s="1"/>
  <c r="C12" i="4"/>
  <c r="G12" i="4" s="1"/>
  <c r="B12" i="4"/>
  <c r="F12" i="4" s="1"/>
  <c r="E11" i="4"/>
  <c r="D11" i="4"/>
  <c r="H11" i="4" s="1"/>
  <c r="C11" i="4"/>
  <c r="G11" i="4" s="1"/>
  <c r="B11" i="4"/>
  <c r="F11" i="4" s="1"/>
  <c r="E10" i="4"/>
  <c r="D10" i="4"/>
  <c r="H10" i="4" s="1"/>
  <c r="C10" i="4"/>
  <c r="G10" i="4" s="1"/>
  <c r="B10" i="4"/>
  <c r="F10" i="4" s="1"/>
  <c r="E9" i="4"/>
  <c r="D9" i="4"/>
  <c r="H9" i="4" s="1"/>
  <c r="C9" i="4"/>
  <c r="B9" i="4"/>
  <c r="E8" i="4"/>
  <c r="D8" i="4"/>
  <c r="H8" i="4" s="1"/>
  <c r="C8" i="4"/>
  <c r="G8" i="4" s="1"/>
  <c r="B8" i="4"/>
  <c r="F8" i="4" s="1"/>
  <c r="E7" i="4"/>
  <c r="D7" i="4"/>
  <c r="H7" i="4" s="1"/>
  <c r="H28" i="4" s="1"/>
  <c r="B19" i="6" s="1"/>
  <c r="C7" i="4"/>
  <c r="G7" i="4" s="1"/>
  <c r="B7" i="4"/>
  <c r="E6" i="4"/>
  <c r="D6" i="4"/>
  <c r="H6" i="4" s="1"/>
  <c r="C6" i="4"/>
  <c r="G6" i="4" s="1"/>
  <c r="B6" i="4"/>
  <c r="F6" i="4" s="1"/>
  <c r="E5" i="4"/>
  <c r="D5" i="4"/>
  <c r="H5" i="4" s="1"/>
  <c r="C5" i="4"/>
  <c r="G5" i="4" s="1"/>
  <c r="B5" i="4"/>
  <c r="F5" i="4" s="1"/>
  <c r="E4" i="4"/>
  <c r="D4" i="4"/>
  <c r="H4" i="4" s="1"/>
  <c r="C4" i="4"/>
  <c r="G4" i="4" s="1"/>
  <c r="B4" i="4"/>
  <c r="F4" i="4" s="1"/>
  <c r="E3" i="4"/>
  <c r="D3" i="4"/>
  <c r="H3" i="4" s="1"/>
  <c r="C3" i="4"/>
  <c r="G3" i="4" s="1"/>
  <c r="B3" i="4"/>
  <c r="F3" i="4" s="1"/>
  <c r="E2" i="4"/>
  <c r="D2" i="4"/>
  <c r="H2" i="4" s="1"/>
  <c r="C2" i="4"/>
  <c r="G2" i="4" s="1"/>
  <c r="B2" i="4"/>
  <c r="F2" i="4" s="1"/>
  <c r="G27" i="3"/>
  <c r="F27" i="3"/>
  <c r="E27" i="3"/>
  <c r="G26" i="3"/>
  <c r="F26" i="3"/>
  <c r="E26" i="3"/>
  <c r="G25" i="3"/>
  <c r="F25" i="3"/>
  <c r="E25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3" i="3"/>
  <c r="F13" i="3"/>
  <c r="E13" i="3"/>
  <c r="G12" i="3"/>
  <c r="F12" i="3"/>
  <c r="E12" i="3"/>
  <c r="G11" i="3"/>
  <c r="F11" i="3"/>
  <c r="E11" i="3"/>
  <c r="G10" i="3"/>
  <c r="F10" i="3"/>
  <c r="E10" i="3"/>
  <c r="G9" i="3"/>
  <c r="F9" i="3"/>
  <c r="E9" i="3"/>
  <c r="G8" i="3"/>
  <c r="F8" i="3"/>
  <c r="E8" i="3"/>
  <c r="G7" i="3"/>
  <c r="F7" i="3"/>
  <c r="E7" i="3"/>
  <c r="G6" i="3"/>
  <c r="F6" i="3"/>
  <c r="E6" i="3"/>
  <c r="G5" i="3"/>
  <c r="F5" i="3"/>
  <c r="E5" i="3"/>
  <c r="G4" i="3"/>
  <c r="F4" i="3"/>
  <c r="E4" i="3"/>
  <c r="G3" i="3"/>
  <c r="F3" i="3"/>
  <c r="E3" i="3"/>
  <c r="G2" i="3"/>
  <c r="F2" i="3"/>
  <c r="E2" i="3"/>
  <c r="D29" i="1"/>
  <c r="D28" i="1"/>
  <c r="B16" i="10" l="1"/>
  <c r="F28" i="7"/>
  <c r="B20" i="10" s="1"/>
  <c r="F27" i="5"/>
  <c r="B11" i="10" s="1"/>
  <c r="D28" i="8"/>
  <c r="C18" i="10" s="1"/>
  <c r="B28" i="8"/>
  <c r="C28" i="8"/>
  <c r="C17" i="10" s="1"/>
  <c r="E28" i="8"/>
  <c r="C19" i="10" s="1"/>
  <c r="B10" i="10"/>
  <c r="B27" i="8"/>
  <c r="D27" i="8"/>
  <c r="E27" i="8"/>
  <c r="F26" i="5"/>
  <c r="C27" i="8"/>
  <c r="E26" i="8"/>
  <c r="F25" i="5"/>
  <c r="D26" i="8"/>
  <c r="C26" i="8"/>
  <c r="B26" i="8"/>
  <c r="F26" i="8" s="1"/>
  <c r="B25" i="8"/>
  <c r="C25" i="8"/>
  <c r="D25" i="8"/>
  <c r="E25" i="8"/>
  <c r="F24" i="5"/>
  <c r="D24" i="8"/>
  <c r="E24" i="8"/>
  <c r="B24" i="8"/>
  <c r="F23" i="5"/>
  <c r="C24" i="8"/>
  <c r="C23" i="8"/>
  <c r="D23" i="8"/>
  <c r="F22" i="5"/>
  <c r="E23" i="8"/>
  <c r="B23" i="8"/>
  <c r="F23" i="8" s="1"/>
  <c r="F21" i="5"/>
  <c r="B22" i="8"/>
  <c r="D22" i="8"/>
  <c r="E22" i="8"/>
  <c r="C22" i="8"/>
  <c r="C21" i="8"/>
  <c r="D21" i="8"/>
  <c r="F20" i="5"/>
  <c r="E21" i="8"/>
  <c r="B21" i="8"/>
  <c r="F21" i="8" s="1"/>
  <c r="C20" i="8"/>
  <c r="F19" i="5"/>
  <c r="F28" i="5" s="1"/>
  <c r="B20" i="8"/>
  <c r="E20" i="8"/>
  <c r="D20" i="8"/>
  <c r="B12" i="10"/>
  <c r="C17" i="6"/>
  <c r="B7" i="8"/>
  <c r="F7" i="8" s="1"/>
  <c r="F6" i="5"/>
  <c r="G9" i="4"/>
  <c r="G28" i="4" s="1"/>
  <c r="B18" i="6" s="1"/>
  <c r="F9" i="4"/>
  <c r="D19" i="6"/>
  <c r="E19" i="6"/>
  <c r="F7" i="4"/>
  <c r="B8" i="7"/>
  <c r="F8" i="7" s="1"/>
  <c r="F28" i="8" l="1"/>
  <c r="C20" i="10" s="1"/>
  <c r="C16" i="10"/>
  <c r="F27" i="8"/>
  <c r="F20" i="8"/>
  <c r="F22" i="8"/>
  <c r="F28" i="4"/>
  <c r="F25" i="8"/>
  <c r="F24" i="8"/>
  <c r="D18" i="6"/>
  <c r="E18" i="6"/>
  <c r="B7" i="10" l="1"/>
  <c r="B17" i="6"/>
  <c r="D17" i="6" l="1"/>
  <c r="E17" i="6"/>
</calcChain>
</file>

<file path=xl/sharedStrings.xml><?xml version="1.0" encoding="utf-8"?>
<sst xmlns="http://schemas.openxmlformats.org/spreadsheetml/2006/main" count="312" uniqueCount="131">
  <si>
    <t>NCC Energy Transition Model - Parameters</t>
  </si>
  <si>
    <t>Total Ethylene Capacity</t>
  </si>
  <si>
    <t>kt/year</t>
  </si>
  <si>
    <t>11 facilities</t>
  </si>
  <si>
    <t>Total NCC Capacity</t>
  </si>
  <si>
    <t>41 facilities</t>
  </si>
  <si>
    <t>H2 Intensity</t>
  </si>
  <si>
    <t>ton H2/ton C2H4</t>
  </si>
  <si>
    <t>Lummus Tech 2023</t>
  </si>
  <si>
    <t>CAPEX 2025</t>
  </si>
  <si>
    <t>$/t-C2H4/yr</t>
  </si>
  <si>
    <t>Literature mean</t>
  </si>
  <si>
    <t>CAPEX 2030</t>
  </si>
  <si>
    <t>CAPEX 2040</t>
  </si>
  <si>
    <t>CAPEX 2050</t>
  </si>
  <si>
    <t>OPEX (% of CAPEX)</t>
  </si>
  <si>
    <t>%</t>
  </si>
  <si>
    <t>Industry standard</t>
  </si>
  <si>
    <t>Lifetime</t>
  </si>
  <si>
    <t>years</t>
  </si>
  <si>
    <t>Elec Intensity</t>
  </si>
  <si>
    <t>MWh/ton C2H4</t>
  </si>
  <si>
    <t>BASF/SABIC/Linde 2024</t>
  </si>
  <si>
    <t>Shaheen H2 Demand (2050)</t>
  </si>
  <si>
    <t>From model optimization</t>
  </si>
  <si>
    <t>Shaheen Elec Demand (2050)</t>
  </si>
  <si>
    <t>TWh/year</t>
  </si>
  <si>
    <t>구조조정 25% Scale</t>
  </si>
  <si>
    <t>구조조정 40% Scale</t>
  </si>
  <si>
    <t>Year</t>
  </si>
  <si>
    <t>H2 Price ($/kg)</t>
  </si>
  <si>
    <t>RE Price ($/MWh)</t>
  </si>
  <si>
    <t>Grid Price ($/MWh)</t>
  </si>
  <si>
    <t>Shaheen Multiplier</t>
  </si>
  <si>
    <t>구조조정 25% Multiplier</t>
  </si>
  <si>
    <t>구조조정 40% Multiplier</t>
  </si>
  <si>
    <t>Shaheen Ethylene (kt)</t>
  </si>
  <si>
    <t>구조조정 25% Ethylene (kt)</t>
  </si>
  <si>
    <t>구조조정 40% Ethylene (kt)</t>
  </si>
  <si>
    <t>Shaheen H2 (kt)</t>
  </si>
  <si>
    <t>구조조정25% H2 (kt)</t>
  </si>
  <si>
    <t>구조조정40% H2 (kt)</t>
  </si>
  <si>
    <t>Shaheen H2 Cost ($B)</t>
  </si>
  <si>
    <t>구조조정25% Cost ($B)</t>
  </si>
  <si>
    <t>구조조정40% Cost ($B)</t>
  </si>
  <si>
    <t>CUMULATIVE (2030-2050)</t>
  </si>
  <si>
    <t>Shaheen Elec (TWh)</t>
  </si>
  <si>
    <t>구조조정25% Elec (TWh)</t>
  </si>
  <si>
    <t>구조조정40% Elec (TWh)</t>
  </si>
  <si>
    <t>Shaheen Elec Cost ($B)</t>
  </si>
  <si>
    <t>CAPEX Analysis for NCC Decarbonization</t>
  </si>
  <si>
    <t>CAPEX ($/t-C2H4/yr)</t>
  </si>
  <si>
    <t>Shaheen Capacity (kt)</t>
  </si>
  <si>
    <t>Shaheen CAPEX ($B)</t>
  </si>
  <si>
    <t>Notes</t>
  </si>
  <si>
    <t>First year available</t>
  </si>
  <si>
    <t>Mid-term</t>
  </si>
  <si>
    <t>End year</t>
  </si>
  <si>
    <t>Scenario</t>
  </si>
  <si>
    <t>H2 Fuel Cost ($B)</t>
  </si>
  <si>
    <t>Elec Cost ($B)</t>
  </si>
  <si>
    <t>Winner</t>
  </si>
  <si>
    <t>Savings ($B)</t>
  </si>
  <si>
    <t>Shaheen</t>
  </si>
  <si>
    <t>구조조정 25%</t>
  </si>
  <si>
    <t>구조조정 40%</t>
  </si>
  <si>
    <t>Daesan H2 (kt)</t>
  </si>
  <si>
    <t>Yeosu H2 (kt)</t>
  </si>
  <si>
    <t>Ulsan H2 (kt)</t>
  </si>
  <si>
    <t>Onsan H2 (kt)</t>
  </si>
  <si>
    <t>Total H2 (kt)</t>
  </si>
  <si>
    <t>Share (%)</t>
  </si>
  <si>
    <t>39.9%</t>
  </si>
  <si>
    <t>45.5%</t>
  </si>
  <si>
    <t>5.5%</t>
  </si>
  <si>
    <t>9.0%</t>
  </si>
  <si>
    <t>Daesan Elec (TWh)</t>
  </si>
  <si>
    <t>Yeosu Elec (TWh)</t>
  </si>
  <si>
    <t>Ulsan Elec (TWh)</t>
  </si>
  <si>
    <t>Onsan Elec (TWh)</t>
  </si>
  <si>
    <t>Total Elec (TWh)</t>
  </si>
  <si>
    <t>35.8%</t>
  </si>
  <si>
    <t>37.8%</t>
  </si>
  <si>
    <t>9.3%</t>
  </si>
  <si>
    <t>17.2%</t>
  </si>
  <si>
    <t>Product</t>
  </si>
  <si>
    <t>Company</t>
  </si>
  <si>
    <t>Location</t>
  </si>
  <si>
    <t>Complex</t>
  </si>
  <si>
    <t>Capacity (kt)</t>
  </si>
  <si>
    <t>Year Built</t>
  </si>
  <si>
    <t>Age (2025)</t>
  </si>
  <si>
    <t>Ethylene</t>
  </si>
  <si>
    <t>Lotte Chemical</t>
  </si>
  <si>
    <t>Daesan</t>
  </si>
  <si>
    <t>Daesan Complex</t>
  </si>
  <si>
    <t>HD Hyundai Chemical</t>
  </si>
  <si>
    <t>LG Chem</t>
  </si>
  <si>
    <t>Hanwha TotalEnergies</t>
  </si>
  <si>
    <t>Yeosu</t>
  </si>
  <si>
    <t>Yeosu Complex</t>
  </si>
  <si>
    <t>Yeochon NCC</t>
  </si>
  <si>
    <t>GS Caltex</t>
  </si>
  <si>
    <t>Daehan Oil Chemical</t>
  </si>
  <si>
    <t>Onsan</t>
  </si>
  <si>
    <t>Ulsan Complex</t>
  </si>
  <si>
    <t>S-Oil</t>
  </si>
  <si>
    <t>SK Geocentric</t>
  </si>
  <si>
    <t>Ulsan</t>
  </si>
  <si>
    <t>Propylene</t>
  </si>
  <si>
    <t>HDHyundai Oilbank</t>
  </si>
  <si>
    <t>SK Advanced</t>
  </si>
  <si>
    <t>SK Energy</t>
  </si>
  <si>
    <t>Taekwang Industrial</t>
  </si>
  <si>
    <t>Hyosung Chemical</t>
  </si>
  <si>
    <t>Butadiene</t>
  </si>
  <si>
    <t>Kumho Petrochemical</t>
  </si>
  <si>
    <t>Lotte GS Chemical</t>
  </si>
  <si>
    <t>TOTAL</t>
  </si>
  <si>
    <t>NCC Energy Transition - Summary Dashboard</t>
  </si>
  <si>
    <t>NCC-H2 Pathway</t>
  </si>
  <si>
    <t>H2 Demand</t>
  </si>
  <si>
    <t>H2 Fuel Cost</t>
  </si>
  <si>
    <t>$B/year</t>
  </si>
  <si>
    <t>Cumulative Cost (2030-2050)</t>
  </si>
  <si>
    <t>$B</t>
  </si>
  <si>
    <t>NCC-Electricity Pathway</t>
  </si>
  <si>
    <t>Electricity Demand</t>
  </si>
  <si>
    <t>Electricity Cost</t>
  </si>
  <si>
    <t>H2 (kt)</t>
  </si>
  <si>
    <t>Electricity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</si>
</sst>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2" fillId="3" borderId="1" xfId="0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workbookViewId="0">
      <selection activeCell="H12" sqref="H12"/>
    </sheetView>
  </sheetViews>
  <sheetFormatPr baseColWidth="10" defaultColWidth="8.83203125" defaultRowHeight="15" x14ac:dyDescent="0.2"/>
  <cols>
    <col min="1" max="1" width="35" customWidth="1"/>
    <col min="2" max="2" width="15" customWidth="1"/>
    <col min="3" max="3" width="18" customWidth="1"/>
    <col min="4" max="4" width="25" customWidth="1"/>
  </cols>
  <sheetData>
    <row r="1" spans="1:4" x14ac:dyDescent="0.2">
      <c r="A1" s="1" t="s">
        <v>0</v>
      </c>
      <c r="B1" s="1"/>
      <c r="C1" s="1"/>
      <c r="D1" s="1"/>
    </row>
    <row r="2" spans="1:4" x14ac:dyDescent="0.2">
      <c r="A2" s="1"/>
      <c r="B2" s="1"/>
      <c r="C2" s="1"/>
      <c r="D2" s="1"/>
    </row>
    <row r="3" spans="1:4" x14ac:dyDescent="0.2">
      <c r="A3" s="2"/>
      <c r="B3" s="1"/>
      <c r="C3" s="1"/>
      <c r="D3" s="1"/>
    </row>
    <row r="4" spans="1:4" x14ac:dyDescent="0.2">
      <c r="A4" s="1" t="s">
        <v>1</v>
      </c>
      <c r="B4" s="3">
        <v>11962</v>
      </c>
      <c r="C4" s="1" t="s">
        <v>2</v>
      </c>
      <c r="D4" s="1" t="s">
        <v>3</v>
      </c>
    </row>
    <row r="5" spans="1:4" x14ac:dyDescent="0.2">
      <c r="A5" s="1" t="s">
        <v>4</v>
      </c>
      <c r="B5" s="3">
        <v>25317</v>
      </c>
      <c r="C5" s="1" t="s">
        <v>2</v>
      </c>
      <c r="D5" s="1" t="s">
        <v>5</v>
      </c>
    </row>
    <row r="6" spans="1:4" x14ac:dyDescent="0.2">
      <c r="A6" s="1"/>
      <c r="B6" s="1"/>
      <c r="C6" s="1"/>
      <c r="D6" s="1"/>
    </row>
    <row r="7" spans="1:4" x14ac:dyDescent="0.2">
      <c r="A7" s="2"/>
      <c r="B7" s="1"/>
      <c r="C7" s="1"/>
      <c r="D7" s="1"/>
    </row>
    <row r="8" spans="1:4" x14ac:dyDescent="0.2">
      <c r="A8" s="1" t="s">
        <v>6</v>
      </c>
      <c r="B8" s="3">
        <v>0.56000000000000005</v>
      </c>
      <c r="C8" s="1" t="s">
        <v>7</v>
      </c>
      <c r="D8" s="1" t="s">
        <v>8</v>
      </c>
    </row>
    <row r="9" spans="1:4" x14ac:dyDescent="0.2">
      <c r="A9" s="1" t="s">
        <v>9</v>
      </c>
      <c r="B9" s="3">
        <v>1550</v>
      </c>
      <c r="C9" s="1" t="s">
        <v>10</v>
      </c>
      <c r="D9" s="1" t="s">
        <v>11</v>
      </c>
    </row>
    <row r="10" spans="1:4" x14ac:dyDescent="0.2">
      <c r="A10" s="1" t="s">
        <v>12</v>
      </c>
      <c r="B10" s="3">
        <v>1300</v>
      </c>
      <c r="C10" s="1" t="s">
        <v>10</v>
      </c>
      <c r="D10" s="1"/>
    </row>
    <row r="11" spans="1:4" x14ac:dyDescent="0.2">
      <c r="A11" s="1" t="s">
        <v>13</v>
      </c>
      <c r="B11" s="3">
        <v>935</v>
      </c>
      <c r="C11" s="1" t="s">
        <v>10</v>
      </c>
      <c r="D11" s="1"/>
    </row>
    <row r="12" spans="1:4" x14ac:dyDescent="0.2">
      <c r="A12" s="1" t="s">
        <v>14</v>
      </c>
      <c r="B12" s="3">
        <v>780</v>
      </c>
      <c r="C12" s="1" t="s">
        <v>10</v>
      </c>
      <c r="D12" s="1"/>
    </row>
    <row r="13" spans="1:4" x14ac:dyDescent="0.2">
      <c r="A13" s="1" t="s">
        <v>15</v>
      </c>
      <c r="B13" s="3">
        <v>4</v>
      </c>
      <c r="C13" s="1" t="s">
        <v>16</v>
      </c>
      <c r="D13" s="1" t="s">
        <v>17</v>
      </c>
    </row>
    <row r="14" spans="1:4" x14ac:dyDescent="0.2">
      <c r="A14" s="1" t="s">
        <v>18</v>
      </c>
      <c r="B14" s="3">
        <v>25</v>
      </c>
      <c r="C14" s="1" t="s">
        <v>19</v>
      </c>
      <c r="D14" s="1"/>
    </row>
    <row r="15" spans="1:4" x14ac:dyDescent="0.2">
      <c r="A15" s="1"/>
      <c r="B15" s="1"/>
      <c r="C15" s="1"/>
      <c r="D15" s="1"/>
    </row>
    <row r="16" spans="1:4" x14ac:dyDescent="0.2">
      <c r="A16" s="2"/>
      <c r="B16" s="1"/>
      <c r="C16" s="1"/>
      <c r="D16" s="1"/>
    </row>
    <row r="17" spans="1:4" x14ac:dyDescent="0.2">
      <c r="A17" s="1" t="s">
        <v>20</v>
      </c>
      <c r="B17" s="3">
        <v>5</v>
      </c>
      <c r="C17" s="1" t="s">
        <v>21</v>
      </c>
      <c r="D17" s="1" t="s">
        <v>22</v>
      </c>
    </row>
    <row r="18" spans="1:4" x14ac:dyDescent="0.2">
      <c r="A18" s="1" t="s">
        <v>9</v>
      </c>
      <c r="B18" s="3">
        <v>1500</v>
      </c>
      <c r="C18" s="1" t="s">
        <v>10</v>
      </c>
      <c r="D18" s="1" t="s">
        <v>11</v>
      </c>
    </row>
    <row r="19" spans="1:4" x14ac:dyDescent="0.2">
      <c r="A19" s="1" t="s">
        <v>12</v>
      </c>
      <c r="B19" s="3">
        <v>1350</v>
      </c>
      <c r="C19" s="1" t="s">
        <v>10</v>
      </c>
      <c r="D19" s="1"/>
    </row>
    <row r="20" spans="1:4" x14ac:dyDescent="0.2">
      <c r="A20" s="1" t="s">
        <v>13</v>
      </c>
      <c r="B20" s="3">
        <v>1050</v>
      </c>
      <c r="C20" s="1" t="s">
        <v>10</v>
      </c>
      <c r="D20" s="1"/>
    </row>
    <row r="21" spans="1:4" x14ac:dyDescent="0.2">
      <c r="A21" s="1" t="s">
        <v>14</v>
      </c>
      <c r="B21" s="3">
        <v>900</v>
      </c>
      <c r="C21" s="1" t="s">
        <v>10</v>
      </c>
      <c r="D21" s="1"/>
    </row>
    <row r="22" spans="1:4" x14ac:dyDescent="0.2">
      <c r="A22" s="1" t="s">
        <v>15</v>
      </c>
      <c r="B22" s="3">
        <v>4</v>
      </c>
      <c r="C22" s="1" t="s">
        <v>16</v>
      </c>
      <c r="D22" s="1" t="s">
        <v>17</v>
      </c>
    </row>
    <row r="23" spans="1:4" x14ac:dyDescent="0.2">
      <c r="A23" s="1" t="s">
        <v>18</v>
      </c>
      <c r="B23" s="3">
        <v>25</v>
      </c>
      <c r="C23" s="1" t="s">
        <v>19</v>
      </c>
      <c r="D23" s="1"/>
    </row>
    <row r="24" spans="1:4" x14ac:dyDescent="0.2">
      <c r="A24" s="1"/>
      <c r="B24" s="1"/>
      <c r="C24" s="1"/>
      <c r="D24" s="1"/>
    </row>
    <row r="25" spans="1:4" x14ac:dyDescent="0.2">
      <c r="A25" s="2"/>
      <c r="B25" s="1"/>
      <c r="C25" s="1"/>
      <c r="D25" s="1"/>
    </row>
    <row r="26" spans="1:4" x14ac:dyDescent="0.2">
      <c r="A26" s="1" t="s">
        <v>23</v>
      </c>
      <c r="B26" s="3">
        <v>7703.5</v>
      </c>
      <c r="C26" s="1" t="s">
        <v>2</v>
      </c>
      <c r="D26" s="1" t="s">
        <v>24</v>
      </c>
    </row>
    <row r="27" spans="1:4" x14ac:dyDescent="0.2">
      <c r="A27" s="1" t="s">
        <v>25</v>
      </c>
      <c r="B27" s="3">
        <v>164.5</v>
      </c>
      <c r="C27" s="1" t="s">
        <v>26</v>
      </c>
      <c r="D27" s="1" t="s">
        <v>24</v>
      </c>
    </row>
    <row r="28" spans="1:4" x14ac:dyDescent="0.2">
      <c r="A28" s="1" t="s">
        <v>27</v>
      </c>
      <c r="B28" s="3">
        <v>0.60087000000000002</v>
      </c>
      <c r="C28" s="1"/>
      <c r="D28" s="1">
        <f>4628.8 / 7703.5</f>
        <v>0.60086973453624981</v>
      </c>
    </row>
    <row r="29" spans="1:4" x14ac:dyDescent="0.2">
      <c r="A29" s="1" t="s">
        <v>28</v>
      </c>
      <c r="B29" s="3">
        <v>0.52173999999999998</v>
      </c>
      <c r="C29" s="1"/>
      <c r="D29" s="1">
        <f>4019.2 / 7703.5</f>
        <v>0.52173687285000325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"/>
  <sheetViews>
    <sheetView tabSelected="1" workbookViewId="0"/>
  </sheetViews>
  <sheetFormatPr baseColWidth="10" defaultColWidth="8.83203125" defaultRowHeight="15" x14ac:dyDescent="0.2"/>
  <cols>
    <col min="1" max="4" width="18" customWidth="1"/>
  </cols>
  <sheetData>
    <row r="1" spans="1:4" x14ac:dyDescent="0.2">
      <c r="A1" s="4" t="s">
        <v>29</v>
      </c>
      <c r="B1" s="4" t="s">
        <v>30</v>
      </c>
      <c r="C1" s="4" t="s">
        <v>31</v>
      </c>
      <c r="D1" s="4" t="s">
        <v>32</v>
      </c>
    </row>
    <row r="2" spans="1:4" x14ac:dyDescent="0.2">
      <c r="A2" s="1">
        <v>2025</v>
      </c>
      <c r="B2" s="1">
        <v>6.73</v>
      </c>
      <c r="C2" s="1">
        <v>129.29</v>
      </c>
      <c r="D2" s="1">
        <v>100</v>
      </c>
    </row>
    <row r="3" spans="1:4" x14ac:dyDescent="0.2">
      <c r="A3" s="1">
        <v>2026</v>
      </c>
      <c r="B3" s="1">
        <v>6.56</v>
      </c>
      <c r="C3" s="1">
        <v>134.46</v>
      </c>
      <c r="D3" s="1">
        <v>103.66</v>
      </c>
    </row>
    <row r="4" spans="1:4" x14ac:dyDescent="0.2">
      <c r="A4" s="1">
        <v>2027</v>
      </c>
      <c r="B4" s="1">
        <v>6.39</v>
      </c>
      <c r="C4" s="1">
        <v>139.84</v>
      </c>
      <c r="D4" s="1">
        <v>107.31</v>
      </c>
    </row>
    <row r="5" spans="1:4" x14ac:dyDescent="0.2">
      <c r="A5" s="1">
        <v>2028</v>
      </c>
      <c r="B5" s="1">
        <v>6.22</v>
      </c>
      <c r="C5" s="1">
        <v>145.43</v>
      </c>
      <c r="D5" s="1">
        <v>110.97</v>
      </c>
    </row>
    <row r="6" spans="1:4" x14ac:dyDescent="0.2">
      <c r="A6" s="1">
        <v>2029</v>
      </c>
      <c r="B6" s="1">
        <v>6.05</v>
      </c>
      <c r="C6" s="1">
        <v>151.25</v>
      </c>
      <c r="D6" s="1">
        <v>114.62</v>
      </c>
    </row>
    <row r="7" spans="1:4" x14ac:dyDescent="0.2">
      <c r="A7" s="1">
        <v>2030</v>
      </c>
      <c r="B7" s="1">
        <v>5.88</v>
      </c>
      <c r="C7" s="1">
        <v>157.30000000000001</v>
      </c>
      <c r="D7" s="1">
        <v>118.28</v>
      </c>
    </row>
    <row r="8" spans="1:4" x14ac:dyDescent="0.2">
      <c r="A8" s="1">
        <v>2031</v>
      </c>
      <c r="B8" s="1">
        <v>5.71</v>
      </c>
      <c r="C8" s="1">
        <v>163.59</v>
      </c>
      <c r="D8" s="1">
        <v>121.93</v>
      </c>
    </row>
    <row r="9" spans="1:4" x14ac:dyDescent="0.2">
      <c r="A9" s="1">
        <v>2032</v>
      </c>
      <c r="B9" s="1">
        <v>5.53</v>
      </c>
      <c r="C9" s="1">
        <v>170.13</v>
      </c>
      <c r="D9" s="1">
        <v>125.59</v>
      </c>
    </row>
    <row r="10" spans="1:4" x14ac:dyDescent="0.2">
      <c r="A10" s="1">
        <v>2033</v>
      </c>
      <c r="B10" s="1">
        <v>5.36</v>
      </c>
      <c r="C10" s="1">
        <v>176.94</v>
      </c>
      <c r="D10" s="1">
        <v>129.24</v>
      </c>
    </row>
    <row r="11" spans="1:4" x14ac:dyDescent="0.2">
      <c r="A11" s="1">
        <v>2034</v>
      </c>
      <c r="B11" s="1">
        <v>5.19</v>
      </c>
      <c r="C11" s="1">
        <v>184.02</v>
      </c>
      <c r="D11" s="1">
        <v>132.9</v>
      </c>
    </row>
    <row r="12" spans="1:4" x14ac:dyDescent="0.2">
      <c r="A12" s="1">
        <v>2035</v>
      </c>
      <c r="B12" s="1">
        <v>5.0199999999999996</v>
      </c>
      <c r="C12" s="1">
        <v>191.38</v>
      </c>
      <c r="D12" s="1">
        <v>136.55000000000001</v>
      </c>
    </row>
    <row r="13" spans="1:4" x14ac:dyDescent="0.2">
      <c r="A13" s="1">
        <v>2036</v>
      </c>
      <c r="B13" s="1">
        <v>4.84</v>
      </c>
      <c r="C13" s="1">
        <v>191.38</v>
      </c>
      <c r="D13" s="1">
        <v>140.21</v>
      </c>
    </row>
    <row r="14" spans="1:4" x14ac:dyDescent="0.2">
      <c r="A14" s="1">
        <v>2037</v>
      </c>
      <c r="B14" s="1">
        <v>4.67</v>
      </c>
      <c r="C14" s="1">
        <v>191.38</v>
      </c>
      <c r="D14" s="1">
        <v>143.86000000000001</v>
      </c>
    </row>
    <row r="15" spans="1:4" x14ac:dyDescent="0.2">
      <c r="A15" s="1">
        <v>2038</v>
      </c>
      <c r="B15" s="1">
        <v>4.5</v>
      </c>
      <c r="C15" s="1">
        <v>191.38</v>
      </c>
      <c r="D15" s="1">
        <v>147.52000000000001</v>
      </c>
    </row>
    <row r="16" spans="1:4" x14ac:dyDescent="0.2">
      <c r="A16" s="1">
        <v>2039</v>
      </c>
      <c r="B16" s="1">
        <v>4.33</v>
      </c>
      <c r="C16" s="1">
        <v>191.38</v>
      </c>
      <c r="D16" s="1">
        <v>151.16999999999999</v>
      </c>
    </row>
    <row r="17" spans="1:4" x14ac:dyDescent="0.2">
      <c r="A17" s="1">
        <v>2040</v>
      </c>
      <c r="B17" s="1">
        <v>4.16</v>
      </c>
      <c r="C17" s="1">
        <v>191.38</v>
      </c>
      <c r="D17" s="1">
        <v>154.83000000000001</v>
      </c>
    </row>
    <row r="18" spans="1:4" x14ac:dyDescent="0.2">
      <c r="A18" s="1">
        <v>2041</v>
      </c>
      <c r="B18" s="1">
        <v>3.99</v>
      </c>
      <c r="C18" s="1">
        <v>191.38</v>
      </c>
      <c r="D18" s="1">
        <v>158.47999999999999</v>
      </c>
    </row>
    <row r="19" spans="1:4" x14ac:dyDescent="0.2">
      <c r="A19" s="1">
        <v>2042</v>
      </c>
      <c r="B19" s="1">
        <v>3.82</v>
      </c>
      <c r="C19" s="1">
        <v>191.38</v>
      </c>
      <c r="D19" s="1">
        <v>162.13999999999999</v>
      </c>
    </row>
    <row r="20" spans="1:4" x14ac:dyDescent="0.2">
      <c r="A20" s="1">
        <v>2043</v>
      </c>
      <c r="B20" s="1">
        <v>3.65</v>
      </c>
      <c r="C20" s="1">
        <v>191.38</v>
      </c>
      <c r="D20" s="1">
        <v>165.79</v>
      </c>
    </row>
    <row r="21" spans="1:4" x14ac:dyDescent="0.2">
      <c r="A21" s="1">
        <v>2044</v>
      </c>
      <c r="B21" s="1">
        <v>3.48</v>
      </c>
      <c r="C21" s="1">
        <v>191.38</v>
      </c>
      <c r="D21" s="1">
        <v>169.45</v>
      </c>
    </row>
    <row r="22" spans="1:4" x14ac:dyDescent="0.2">
      <c r="A22" s="1">
        <v>2045</v>
      </c>
      <c r="B22" s="1">
        <v>3.31</v>
      </c>
      <c r="C22" s="1">
        <v>191.38</v>
      </c>
      <c r="D22" s="1">
        <v>173.1</v>
      </c>
    </row>
    <row r="23" spans="1:4" x14ac:dyDescent="0.2">
      <c r="A23" s="1">
        <v>2046</v>
      </c>
      <c r="B23" s="1">
        <v>3.17</v>
      </c>
      <c r="C23" s="1">
        <v>191.38</v>
      </c>
      <c r="D23" s="1">
        <v>176.76</v>
      </c>
    </row>
    <row r="24" spans="1:4" x14ac:dyDescent="0.2">
      <c r="A24" s="1">
        <v>2047</v>
      </c>
      <c r="B24" s="1">
        <v>3.04</v>
      </c>
      <c r="C24" s="1">
        <v>191.38</v>
      </c>
      <c r="D24" s="1">
        <v>180.41</v>
      </c>
    </row>
    <row r="25" spans="1:4" x14ac:dyDescent="0.2">
      <c r="A25" s="1">
        <v>2048</v>
      </c>
      <c r="B25" s="1">
        <v>2.9</v>
      </c>
      <c r="C25" s="1">
        <v>191.38</v>
      </c>
      <c r="D25" s="1">
        <v>184.07</v>
      </c>
    </row>
    <row r="26" spans="1:4" x14ac:dyDescent="0.2">
      <c r="A26" s="1">
        <v>2049</v>
      </c>
      <c r="B26" s="1">
        <v>2.76</v>
      </c>
      <c r="C26" s="1">
        <v>191.38</v>
      </c>
      <c r="D26" s="1">
        <v>187.72</v>
      </c>
    </row>
    <row r="27" spans="1:4" x14ac:dyDescent="0.2">
      <c r="A27" s="1">
        <v>2050</v>
      </c>
      <c r="B27" s="1">
        <v>2.63</v>
      </c>
      <c r="C27" s="1">
        <v>191.38</v>
      </c>
      <c r="D27" s="1">
        <v>191.38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7"/>
  <sheetViews>
    <sheetView workbookViewId="0"/>
  </sheetViews>
  <sheetFormatPr baseColWidth="10" defaultColWidth="8.83203125" defaultRowHeight="15" x14ac:dyDescent="0.2"/>
  <cols>
    <col min="1" max="7" width="22" customWidth="1"/>
  </cols>
  <sheetData>
    <row r="1" spans="1:7" x14ac:dyDescent="0.2">
      <c r="A1" s="4" t="s">
        <v>29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</row>
    <row r="2" spans="1:7" x14ac:dyDescent="0.2">
      <c r="A2" s="1">
        <v>2025</v>
      </c>
      <c r="B2" s="1">
        <v>1</v>
      </c>
      <c r="C2" s="1">
        <v>1</v>
      </c>
      <c r="D2" s="1">
        <v>1</v>
      </c>
      <c r="E2" s="1">
        <f>'1_Parameters'!$B$4*B2</f>
        <v>11962</v>
      </c>
      <c r="F2" s="1">
        <f>'1_Parameters'!$B$4*C2</f>
        <v>11962</v>
      </c>
      <c r="G2" s="1">
        <f>'1_Parameters'!$B$4*D2</f>
        <v>11962</v>
      </c>
    </row>
    <row r="3" spans="1:7" x14ac:dyDescent="0.2">
      <c r="A3" s="1">
        <v>2026</v>
      </c>
      <c r="B3" s="1">
        <v>1.1499999999999999</v>
      </c>
      <c r="C3" s="1">
        <v>0.69099999999999995</v>
      </c>
      <c r="D3" s="1">
        <v>0.97</v>
      </c>
      <c r="E3" s="1">
        <f>'1_Parameters'!$B$4*B3</f>
        <v>13756.3</v>
      </c>
      <c r="F3" s="1">
        <f>'1_Parameters'!$B$4*C3</f>
        <v>8265.7420000000002</v>
      </c>
      <c r="G3" s="1">
        <f>'1_Parameters'!$B$4*D3</f>
        <v>11603.14</v>
      </c>
    </row>
    <row r="4" spans="1:7" x14ac:dyDescent="0.2">
      <c r="A4" s="1">
        <v>2027</v>
      </c>
      <c r="B4" s="1">
        <v>1.1499999999999999</v>
      </c>
      <c r="C4" s="1">
        <v>0.69099999999999995</v>
      </c>
      <c r="D4" s="1">
        <v>0.94399999999999995</v>
      </c>
      <c r="E4" s="1">
        <f>'1_Parameters'!$B$4*B4</f>
        <v>13756.3</v>
      </c>
      <c r="F4" s="1">
        <f>'1_Parameters'!$B$4*C4</f>
        <v>8265.7420000000002</v>
      </c>
      <c r="G4" s="1">
        <f>'1_Parameters'!$B$4*D4</f>
        <v>11292.127999999999</v>
      </c>
    </row>
    <row r="5" spans="1:7" x14ac:dyDescent="0.2">
      <c r="A5" s="1">
        <v>2028</v>
      </c>
      <c r="B5" s="1">
        <v>1.1499999999999999</v>
      </c>
      <c r="C5" s="1">
        <v>0.69099999999999995</v>
      </c>
      <c r="D5" s="1">
        <v>0.91700000000000004</v>
      </c>
      <c r="E5" s="1">
        <f>'1_Parameters'!$B$4*B5</f>
        <v>13756.3</v>
      </c>
      <c r="F5" s="1">
        <f>'1_Parameters'!$B$4*C5</f>
        <v>8265.7420000000002</v>
      </c>
      <c r="G5" s="1">
        <f>'1_Parameters'!$B$4*D5</f>
        <v>10969.154</v>
      </c>
    </row>
    <row r="6" spans="1:7" x14ac:dyDescent="0.2">
      <c r="A6" s="1">
        <v>2029</v>
      </c>
      <c r="B6" s="1">
        <v>1.1499999999999999</v>
      </c>
      <c r="C6" s="1">
        <v>0.69099999999999995</v>
      </c>
      <c r="D6" s="1">
        <v>0.89100000000000001</v>
      </c>
      <c r="E6" s="1">
        <f>'1_Parameters'!$B$4*B6</f>
        <v>13756.3</v>
      </c>
      <c r="F6" s="1">
        <f>'1_Parameters'!$B$4*C6</f>
        <v>8265.7420000000002</v>
      </c>
      <c r="G6" s="1">
        <f>'1_Parameters'!$B$4*D6</f>
        <v>10658.142</v>
      </c>
    </row>
    <row r="7" spans="1:7" x14ac:dyDescent="0.2">
      <c r="A7" s="1">
        <v>2030</v>
      </c>
      <c r="B7" s="1">
        <v>1.1499999999999999</v>
      </c>
      <c r="C7" s="1">
        <v>0.69099999999999995</v>
      </c>
      <c r="D7" s="1">
        <v>0.875</v>
      </c>
      <c r="E7" s="1">
        <f>'1_Parameters'!$B$4*B7</f>
        <v>13756.3</v>
      </c>
      <c r="F7" s="1">
        <f>'1_Parameters'!$B$4*C7</f>
        <v>8265.7420000000002</v>
      </c>
      <c r="G7" s="1">
        <f>'1_Parameters'!$B$4*D7</f>
        <v>10466.75</v>
      </c>
    </row>
    <row r="8" spans="1:7" x14ac:dyDescent="0.2">
      <c r="A8" s="1">
        <v>2031</v>
      </c>
      <c r="B8" s="1">
        <v>1.1499999999999999</v>
      </c>
      <c r="C8" s="1">
        <v>0.69099999999999995</v>
      </c>
      <c r="D8" s="1">
        <v>0.84899999999999998</v>
      </c>
      <c r="E8" s="1">
        <f>'1_Parameters'!$B$4*B8</f>
        <v>13756.3</v>
      </c>
      <c r="F8" s="1">
        <f>'1_Parameters'!$B$4*C8</f>
        <v>8265.7420000000002</v>
      </c>
      <c r="G8" s="1">
        <f>'1_Parameters'!$B$4*D8</f>
        <v>10155.737999999999</v>
      </c>
    </row>
    <row r="9" spans="1:7" x14ac:dyDescent="0.2">
      <c r="A9" s="1">
        <v>2032</v>
      </c>
      <c r="B9" s="1">
        <v>1.1499999999999999</v>
      </c>
      <c r="C9" s="1">
        <v>0.69099999999999995</v>
      </c>
      <c r="D9" s="1">
        <v>0.82299999999999995</v>
      </c>
      <c r="E9" s="1">
        <f>'1_Parameters'!$B$4*B9</f>
        <v>13756.3</v>
      </c>
      <c r="F9" s="1">
        <f>'1_Parameters'!$B$4*C9</f>
        <v>8265.7420000000002</v>
      </c>
      <c r="G9" s="1">
        <f>'1_Parameters'!$B$4*D9</f>
        <v>9844.7259999999987</v>
      </c>
    </row>
    <row r="10" spans="1:7" x14ac:dyDescent="0.2">
      <c r="A10" s="1">
        <v>2033</v>
      </c>
      <c r="B10" s="1">
        <v>1.1499999999999999</v>
      </c>
      <c r="C10" s="1">
        <v>0.69099999999999995</v>
      </c>
      <c r="D10" s="1">
        <v>0.79700000000000004</v>
      </c>
      <c r="E10" s="1">
        <f>'1_Parameters'!$B$4*B10</f>
        <v>13756.3</v>
      </c>
      <c r="F10" s="1">
        <f>'1_Parameters'!$B$4*C10</f>
        <v>8265.7420000000002</v>
      </c>
      <c r="G10" s="1">
        <f>'1_Parameters'!$B$4*D10</f>
        <v>9533.7139999999999</v>
      </c>
    </row>
    <row r="11" spans="1:7" x14ac:dyDescent="0.2">
      <c r="A11" s="1">
        <v>2034</v>
      </c>
      <c r="B11" s="1">
        <v>1.1499999999999999</v>
      </c>
      <c r="C11" s="1">
        <v>0.69099999999999995</v>
      </c>
      <c r="D11" s="1">
        <v>0.77100000000000002</v>
      </c>
      <c r="E11" s="1">
        <f>'1_Parameters'!$B$4*B11</f>
        <v>13756.3</v>
      </c>
      <c r="F11" s="1">
        <f>'1_Parameters'!$B$4*C11</f>
        <v>8265.7420000000002</v>
      </c>
      <c r="G11" s="1">
        <f>'1_Parameters'!$B$4*D11</f>
        <v>9222.7019999999993</v>
      </c>
    </row>
    <row r="12" spans="1:7" x14ac:dyDescent="0.2">
      <c r="A12" s="1">
        <v>2035</v>
      </c>
      <c r="B12" s="1">
        <v>1.1499999999999999</v>
      </c>
      <c r="C12" s="1">
        <v>0.69099999999999995</v>
      </c>
      <c r="D12" s="1">
        <v>0.75600000000000001</v>
      </c>
      <c r="E12" s="1">
        <f>'1_Parameters'!$B$4*B12</f>
        <v>13756.3</v>
      </c>
      <c r="F12" s="1">
        <f>'1_Parameters'!$B$4*C12</f>
        <v>8265.7420000000002</v>
      </c>
      <c r="G12" s="1">
        <f>'1_Parameters'!$B$4*D12</f>
        <v>9043.2720000000008</v>
      </c>
    </row>
    <row r="13" spans="1:7" x14ac:dyDescent="0.2">
      <c r="A13" s="1">
        <v>2036</v>
      </c>
      <c r="B13" s="1">
        <v>1.1499999999999999</v>
      </c>
      <c r="C13" s="1">
        <v>0.69099999999999995</v>
      </c>
      <c r="D13" s="1">
        <v>0.73</v>
      </c>
      <c r="E13" s="1">
        <f>'1_Parameters'!$B$4*B13</f>
        <v>13756.3</v>
      </c>
      <c r="F13" s="1">
        <f>'1_Parameters'!$B$4*C13</f>
        <v>8265.7420000000002</v>
      </c>
      <c r="G13" s="1">
        <f>'1_Parameters'!$B$4*D13</f>
        <v>8732.26</v>
      </c>
    </row>
    <row r="14" spans="1:7" x14ac:dyDescent="0.2">
      <c r="A14" s="1">
        <v>2037</v>
      </c>
      <c r="B14" s="1">
        <v>1.1499999999999999</v>
      </c>
      <c r="C14" s="1">
        <v>0.69099999999999995</v>
      </c>
      <c r="D14" s="1">
        <v>0.70399999999999996</v>
      </c>
      <c r="E14" s="1">
        <f>'1_Parameters'!$B$4*B14</f>
        <v>13756.3</v>
      </c>
      <c r="F14" s="1">
        <f>'1_Parameters'!$B$4*C14</f>
        <v>8265.7420000000002</v>
      </c>
      <c r="G14" s="1">
        <f>'1_Parameters'!$B$4*D14</f>
        <v>8421.2479999999996</v>
      </c>
    </row>
    <row r="15" spans="1:7" x14ac:dyDescent="0.2">
      <c r="A15" s="1">
        <v>2038</v>
      </c>
      <c r="B15" s="1">
        <v>1.1499999999999999</v>
      </c>
      <c r="C15" s="1">
        <v>0.69099999999999995</v>
      </c>
      <c r="D15" s="1">
        <v>0.67800000000000005</v>
      </c>
      <c r="E15" s="1">
        <f>'1_Parameters'!$B$4*B15</f>
        <v>13756.3</v>
      </c>
      <c r="F15" s="1">
        <f>'1_Parameters'!$B$4*C15</f>
        <v>8265.7420000000002</v>
      </c>
      <c r="G15" s="1">
        <f>'1_Parameters'!$B$4*D15</f>
        <v>8110.2360000000008</v>
      </c>
    </row>
    <row r="16" spans="1:7" x14ac:dyDescent="0.2">
      <c r="A16" s="1">
        <v>2039</v>
      </c>
      <c r="B16" s="1">
        <v>1.1499999999999999</v>
      </c>
      <c r="C16" s="1">
        <v>0.69099999999999995</v>
      </c>
      <c r="D16" s="1">
        <v>0.65200000000000002</v>
      </c>
      <c r="E16" s="1">
        <f>'1_Parameters'!$B$4*B16</f>
        <v>13756.3</v>
      </c>
      <c r="F16" s="1">
        <f>'1_Parameters'!$B$4*C16</f>
        <v>8265.7420000000002</v>
      </c>
      <c r="G16" s="1">
        <f>'1_Parameters'!$B$4*D16</f>
        <v>7799.2240000000002</v>
      </c>
    </row>
    <row r="17" spans="1:7" x14ac:dyDescent="0.2">
      <c r="A17" s="1">
        <v>2040</v>
      </c>
      <c r="B17" s="1">
        <v>1.1499999999999999</v>
      </c>
      <c r="C17" s="1">
        <v>0.69099999999999995</v>
      </c>
      <c r="D17" s="1">
        <v>0.6</v>
      </c>
      <c r="E17" s="1">
        <f>'1_Parameters'!$B$4*B17</f>
        <v>13756.3</v>
      </c>
      <c r="F17" s="1">
        <f>'1_Parameters'!$B$4*C17</f>
        <v>8265.7420000000002</v>
      </c>
      <c r="G17" s="1">
        <f>'1_Parameters'!$B$4*D17</f>
        <v>7177.2</v>
      </c>
    </row>
    <row r="18" spans="1:7" x14ac:dyDescent="0.2">
      <c r="A18" s="1">
        <v>2041</v>
      </c>
      <c r="B18" s="1">
        <v>1.1499999999999999</v>
      </c>
      <c r="C18" s="1">
        <v>0.69099999999999995</v>
      </c>
      <c r="D18" s="1">
        <v>0.6</v>
      </c>
      <c r="E18" s="1">
        <f>'1_Parameters'!$B$4*B18</f>
        <v>13756.3</v>
      </c>
      <c r="F18" s="1">
        <f>'1_Parameters'!$B$4*C18</f>
        <v>8265.7420000000002</v>
      </c>
      <c r="G18" s="1">
        <f>'1_Parameters'!$B$4*D18</f>
        <v>7177.2</v>
      </c>
    </row>
    <row r="19" spans="1:7" x14ac:dyDescent="0.2">
      <c r="A19" s="1">
        <v>2042</v>
      </c>
      <c r="B19" s="1">
        <v>1.1499999999999999</v>
      </c>
      <c r="C19" s="1">
        <v>0.69099999999999995</v>
      </c>
      <c r="D19" s="1">
        <v>0.6</v>
      </c>
      <c r="E19" s="1">
        <f>'1_Parameters'!$B$4*B19</f>
        <v>13756.3</v>
      </c>
      <c r="F19" s="1">
        <f>'1_Parameters'!$B$4*C19</f>
        <v>8265.7420000000002</v>
      </c>
      <c r="G19" s="1">
        <f>'1_Parameters'!$B$4*D19</f>
        <v>7177.2</v>
      </c>
    </row>
    <row r="20" spans="1:7" x14ac:dyDescent="0.2">
      <c r="A20" s="1">
        <v>2043</v>
      </c>
      <c r="B20" s="1">
        <v>1.1499999999999999</v>
      </c>
      <c r="C20" s="1">
        <v>0.69099999999999995</v>
      </c>
      <c r="D20" s="1">
        <v>0.6</v>
      </c>
      <c r="E20" s="1">
        <f>'1_Parameters'!$B$4*B20</f>
        <v>13756.3</v>
      </c>
      <c r="F20" s="1">
        <f>'1_Parameters'!$B$4*C20</f>
        <v>8265.7420000000002</v>
      </c>
      <c r="G20" s="1">
        <f>'1_Parameters'!$B$4*D20</f>
        <v>7177.2</v>
      </c>
    </row>
    <row r="21" spans="1:7" x14ac:dyDescent="0.2">
      <c r="A21" s="1">
        <v>2044</v>
      </c>
      <c r="B21" s="1">
        <v>1.1499999999999999</v>
      </c>
      <c r="C21" s="1">
        <v>0.69099999999999995</v>
      </c>
      <c r="D21" s="1">
        <v>0.6</v>
      </c>
      <c r="E21" s="1">
        <f>'1_Parameters'!$B$4*B21</f>
        <v>13756.3</v>
      </c>
      <c r="F21" s="1">
        <f>'1_Parameters'!$B$4*C21</f>
        <v>8265.7420000000002</v>
      </c>
      <c r="G21" s="1">
        <f>'1_Parameters'!$B$4*D21</f>
        <v>7177.2</v>
      </c>
    </row>
    <row r="22" spans="1:7" x14ac:dyDescent="0.2">
      <c r="A22" s="1">
        <v>2045</v>
      </c>
      <c r="B22" s="1">
        <v>1.1499999999999999</v>
      </c>
      <c r="C22" s="1">
        <v>0.69099999999999995</v>
      </c>
      <c r="D22" s="1">
        <v>0.6</v>
      </c>
      <c r="E22" s="1">
        <f>'1_Parameters'!$B$4*B22</f>
        <v>13756.3</v>
      </c>
      <c r="F22" s="1">
        <f>'1_Parameters'!$B$4*C22</f>
        <v>8265.7420000000002</v>
      </c>
      <c r="G22" s="1">
        <f>'1_Parameters'!$B$4*D22</f>
        <v>7177.2</v>
      </c>
    </row>
    <row r="23" spans="1:7" x14ac:dyDescent="0.2">
      <c r="A23" s="1">
        <v>2046</v>
      </c>
      <c r="B23" s="1">
        <v>1.1499999999999999</v>
      </c>
      <c r="C23" s="1">
        <v>0.69099999999999995</v>
      </c>
      <c r="D23" s="1">
        <v>0.6</v>
      </c>
      <c r="E23" s="1">
        <f>'1_Parameters'!$B$4*B23</f>
        <v>13756.3</v>
      </c>
      <c r="F23" s="1">
        <f>'1_Parameters'!$B$4*C23</f>
        <v>8265.7420000000002</v>
      </c>
      <c r="G23" s="1">
        <f>'1_Parameters'!$B$4*D23</f>
        <v>7177.2</v>
      </c>
    </row>
    <row r="24" spans="1:7" x14ac:dyDescent="0.2">
      <c r="A24" s="1">
        <v>2047</v>
      </c>
      <c r="B24" s="1">
        <v>1.1499999999999999</v>
      </c>
      <c r="C24" s="1">
        <v>0.69099999999999995</v>
      </c>
      <c r="D24" s="1">
        <v>0.6</v>
      </c>
      <c r="E24" s="1">
        <f>'1_Parameters'!$B$4*B24</f>
        <v>13756.3</v>
      </c>
      <c r="F24" s="1">
        <f>'1_Parameters'!$B$4*C24</f>
        <v>8265.7420000000002</v>
      </c>
      <c r="G24" s="1">
        <f>'1_Parameters'!$B$4*D24</f>
        <v>7177.2</v>
      </c>
    </row>
    <row r="25" spans="1:7" x14ac:dyDescent="0.2">
      <c r="A25" s="1">
        <v>2048</v>
      </c>
      <c r="B25" s="1">
        <v>1.1499999999999999</v>
      </c>
      <c r="C25" s="1">
        <v>0.69099999999999995</v>
      </c>
      <c r="D25" s="1">
        <v>0.6</v>
      </c>
      <c r="E25" s="1">
        <f>'1_Parameters'!$B$4*B25</f>
        <v>13756.3</v>
      </c>
      <c r="F25" s="1">
        <f>'1_Parameters'!$B$4*C25</f>
        <v>8265.7420000000002</v>
      </c>
      <c r="G25" s="1">
        <f>'1_Parameters'!$B$4*D25</f>
        <v>7177.2</v>
      </c>
    </row>
    <row r="26" spans="1:7" x14ac:dyDescent="0.2">
      <c r="A26" s="1">
        <v>2049</v>
      </c>
      <c r="B26" s="1">
        <v>1.1499999999999999</v>
      </c>
      <c r="C26" s="1">
        <v>0.69099999999999995</v>
      </c>
      <c r="D26" s="1">
        <v>0.6</v>
      </c>
      <c r="E26" s="1">
        <f>'1_Parameters'!$B$4*B26</f>
        <v>13756.3</v>
      </c>
      <c r="F26" s="1">
        <f>'1_Parameters'!$B$4*C26</f>
        <v>8265.7420000000002</v>
      </c>
      <c r="G26" s="1">
        <f>'1_Parameters'!$B$4*D26</f>
        <v>7177.2</v>
      </c>
    </row>
    <row r="27" spans="1:7" x14ac:dyDescent="0.2">
      <c r="A27" s="1">
        <v>2050</v>
      </c>
      <c r="B27" s="1">
        <v>1.1499999999999999</v>
      </c>
      <c r="C27" s="1">
        <v>0.69099999999999995</v>
      </c>
      <c r="D27" s="1">
        <v>0.6</v>
      </c>
      <c r="E27" s="1">
        <f>'1_Parameters'!$B$4*B27</f>
        <v>13756.3</v>
      </c>
      <c r="F27" s="1">
        <f>'1_Parameters'!$B$4*C27</f>
        <v>8265.7420000000002</v>
      </c>
      <c r="G27" s="1">
        <f>'1_Parameters'!$B$4*D27</f>
        <v>7177.2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"/>
  <sheetViews>
    <sheetView workbookViewId="0"/>
  </sheetViews>
  <sheetFormatPr baseColWidth="10" defaultColWidth="8.83203125" defaultRowHeight="15" x14ac:dyDescent="0.2"/>
  <cols>
    <col min="1" max="8" width="18" customWidth="1"/>
  </cols>
  <sheetData>
    <row r="1" spans="1:8" x14ac:dyDescent="0.2">
      <c r="A1" s="4" t="s">
        <v>29</v>
      </c>
      <c r="B1" s="4" t="s">
        <v>39</v>
      </c>
      <c r="C1" s="4" t="s">
        <v>40</v>
      </c>
      <c r="D1" s="4" t="s">
        <v>41</v>
      </c>
      <c r="E1" s="4" t="s">
        <v>30</v>
      </c>
      <c r="F1" s="4" t="s">
        <v>42</v>
      </c>
      <c r="G1" s="4" t="s">
        <v>43</v>
      </c>
      <c r="H1" s="4" t="s">
        <v>44</v>
      </c>
    </row>
    <row r="2" spans="1:8" x14ac:dyDescent="0.2">
      <c r="A2" s="1">
        <v>2025</v>
      </c>
      <c r="B2" s="1">
        <f>'1_Parameters'!$B$26*('3_Production_Scenarios'!B2/1.15)</f>
        <v>6698.6956521739139</v>
      </c>
      <c r="C2" s="1">
        <f>'1_Parameters'!$B$26*('3_Production_Scenarios'!C2/1.15)</f>
        <v>6698.6956521739139</v>
      </c>
      <c r="D2" s="1">
        <f>'1_Parameters'!$B$26*('3_Production_Scenarios'!D2/1.15)</f>
        <v>6698.6956521739139</v>
      </c>
      <c r="E2" s="1">
        <f>'2_Price_Trajectories'!B2</f>
        <v>6.73</v>
      </c>
      <c r="F2" s="1">
        <f t="shared" ref="F2:F27" si="0">B2*E2/1000</f>
        <v>45.082221739130446</v>
      </c>
      <c r="G2" s="1">
        <f t="shared" ref="G2:G27" si="1">C2*E2/1000</f>
        <v>45.082221739130446</v>
      </c>
      <c r="H2" s="1">
        <f t="shared" ref="H2:H27" si="2">D2*E2/1000</f>
        <v>45.082221739130446</v>
      </c>
    </row>
    <row r="3" spans="1:8" x14ac:dyDescent="0.2">
      <c r="A3" s="1">
        <v>2026</v>
      </c>
      <c r="B3" s="1">
        <f>'1_Parameters'!$B$26*('3_Production_Scenarios'!B3/1.15)</f>
        <v>7703.5</v>
      </c>
      <c r="C3" s="1">
        <f>'1_Parameters'!$B$26*('3_Production_Scenarios'!C3/1.15)</f>
        <v>4628.7986956521736</v>
      </c>
      <c r="D3" s="1">
        <f>'1_Parameters'!$B$26*('3_Production_Scenarios'!D3/1.15)</f>
        <v>6497.7347826086962</v>
      </c>
      <c r="E3" s="1">
        <f>'2_Price_Trajectories'!B3</f>
        <v>6.56</v>
      </c>
      <c r="F3" s="1">
        <f t="shared" si="0"/>
        <v>50.534959999999998</v>
      </c>
      <c r="G3" s="1">
        <f t="shared" si="1"/>
        <v>30.364919443478257</v>
      </c>
      <c r="H3" s="1">
        <f t="shared" si="2"/>
        <v>42.625140173913046</v>
      </c>
    </row>
    <row r="4" spans="1:8" x14ac:dyDescent="0.2">
      <c r="A4" s="1">
        <v>2027</v>
      </c>
      <c r="B4" s="1">
        <f>'1_Parameters'!$B$26*('3_Production_Scenarios'!B4/1.15)</f>
        <v>7703.5</v>
      </c>
      <c r="C4" s="1">
        <f>'1_Parameters'!$B$26*('3_Production_Scenarios'!C4/1.15)</f>
        <v>4628.7986956521736</v>
      </c>
      <c r="D4" s="1">
        <f>'1_Parameters'!$B$26*('3_Production_Scenarios'!D4/1.15)</f>
        <v>6323.568695652174</v>
      </c>
      <c r="E4" s="1">
        <f>'2_Price_Trajectories'!B4</f>
        <v>6.39</v>
      </c>
      <c r="F4" s="1">
        <f t="shared" si="0"/>
        <v>49.225364999999996</v>
      </c>
      <c r="G4" s="1">
        <f t="shared" si="1"/>
        <v>29.578023665217387</v>
      </c>
      <c r="H4" s="1">
        <f t="shared" si="2"/>
        <v>40.40760396521739</v>
      </c>
    </row>
    <row r="5" spans="1:8" x14ac:dyDescent="0.2">
      <c r="A5" s="1">
        <v>2028</v>
      </c>
      <c r="B5" s="1">
        <f>'1_Parameters'!$B$26*('3_Production_Scenarios'!B5/1.15)</f>
        <v>7703.5</v>
      </c>
      <c r="C5" s="1">
        <f>'1_Parameters'!$B$26*('3_Production_Scenarios'!C5/1.15)</f>
        <v>4628.7986956521736</v>
      </c>
      <c r="D5" s="1">
        <f>'1_Parameters'!$B$26*('3_Production_Scenarios'!D5/1.15)</f>
        <v>6142.7039130434796</v>
      </c>
      <c r="E5" s="1">
        <f>'2_Price_Trajectories'!B5</f>
        <v>6.22</v>
      </c>
      <c r="F5" s="1">
        <f t="shared" si="0"/>
        <v>47.915769999999995</v>
      </c>
      <c r="G5" s="1">
        <f t="shared" si="1"/>
        <v>28.791127886956517</v>
      </c>
      <c r="H5" s="1">
        <f t="shared" si="2"/>
        <v>38.207618339130441</v>
      </c>
    </row>
    <row r="6" spans="1:8" x14ac:dyDescent="0.2">
      <c r="A6" s="1">
        <v>2029</v>
      </c>
      <c r="B6" s="1">
        <f>'1_Parameters'!$B$26*('3_Production_Scenarios'!B6/1.15)</f>
        <v>7703.5</v>
      </c>
      <c r="C6" s="1">
        <f>'1_Parameters'!$B$26*('3_Production_Scenarios'!C6/1.15)</f>
        <v>4628.7986956521736</v>
      </c>
      <c r="D6" s="1">
        <f>'1_Parameters'!$B$26*('3_Production_Scenarios'!D6/1.15)</f>
        <v>5968.5378260869575</v>
      </c>
      <c r="E6" s="1">
        <f>'2_Price_Trajectories'!B6</f>
        <v>6.05</v>
      </c>
      <c r="F6" s="1">
        <f t="shared" si="0"/>
        <v>46.606174999999993</v>
      </c>
      <c r="G6" s="1">
        <f t="shared" si="1"/>
        <v>28.00423210869565</v>
      </c>
      <c r="H6" s="1">
        <f t="shared" si="2"/>
        <v>36.109653847826095</v>
      </c>
    </row>
    <row r="7" spans="1:8" x14ac:dyDescent="0.2">
      <c r="A7" s="1">
        <v>2030</v>
      </c>
      <c r="B7" s="1">
        <f>'1_Parameters'!$B$26*('3_Production_Scenarios'!B7/1.15)</f>
        <v>7703.5</v>
      </c>
      <c r="C7" s="1">
        <f>'1_Parameters'!$B$26*('3_Production_Scenarios'!C7/1.15)</f>
        <v>4628.7986956521736</v>
      </c>
      <c r="D7" s="1">
        <f>'1_Parameters'!$B$26*('3_Production_Scenarios'!D7/1.15)</f>
        <v>5861.358695652174</v>
      </c>
      <c r="E7" s="1">
        <f>'2_Price_Trajectories'!B7</f>
        <v>5.88</v>
      </c>
      <c r="F7" s="1">
        <f t="shared" si="0"/>
        <v>45.296579999999999</v>
      </c>
      <c r="G7" s="1">
        <f t="shared" si="1"/>
        <v>27.21733633043478</v>
      </c>
      <c r="H7" s="1">
        <f t="shared" si="2"/>
        <v>34.464789130434781</v>
      </c>
    </row>
    <row r="8" spans="1:8" x14ac:dyDescent="0.2">
      <c r="A8" s="1">
        <v>2031</v>
      </c>
      <c r="B8" s="1">
        <f>'1_Parameters'!$B$26*('3_Production_Scenarios'!B8/1.15)</f>
        <v>7703.5</v>
      </c>
      <c r="C8" s="1">
        <f>'1_Parameters'!$B$26*('3_Production_Scenarios'!C8/1.15)</f>
        <v>4628.7986956521736</v>
      </c>
      <c r="D8" s="1">
        <f>'1_Parameters'!$B$26*('3_Production_Scenarios'!D8/1.15)</f>
        <v>5687.1926086956528</v>
      </c>
      <c r="E8" s="1">
        <f>'2_Price_Trajectories'!B8</f>
        <v>5.71</v>
      </c>
      <c r="F8" s="1">
        <f t="shared" si="0"/>
        <v>43.986984999999997</v>
      </c>
      <c r="G8" s="1">
        <f t="shared" si="1"/>
        <v>26.430440552173909</v>
      </c>
      <c r="H8" s="1">
        <f t="shared" si="2"/>
        <v>32.473869795652178</v>
      </c>
    </row>
    <row r="9" spans="1:8" x14ac:dyDescent="0.2">
      <c r="A9" s="1">
        <v>2032</v>
      </c>
      <c r="B9" s="1">
        <f>'1_Parameters'!$B$26*('3_Production_Scenarios'!B9/1.15)</f>
        <v>7703.5</v>
      </c>
      <c r="C9" s="1">
        <f>'1_Parameters'!$B$26*('3_Production_Scenarios'!C9/1.15)</f>
        <v>4628.7986956521736</v>
      </c>
      <c r="D9" s="1">
        <f>'1_Parameters'!$B$26*('3_Production_Scenarios'!D9/1.15)</f>
        <v>5513.0265217391307</v>
      </c>
      <c r="E9" s="1">
        <f>'2_Price_Trajectories'!B9</f>
        <v>5.53</v>
      </c>
      <c r="F9" s="1">
        <f t="shared" si="0"/>
        <v>42.600355</v>
      </c>
      <c r="G9" s="1">
        <f t="shared" si="1"/>
        <v>25.597256786956521</v>
      </c>
      <c r="H9" s="1">
        <f t="shared" si="2"/>
        <v>30.487036665217396</v>
      </c>
    </row>
    <row r="10" spans="1:8" x14ac:dyDescent="0.2">
      <c r="A10" s="1">
        <v>2033</v>
      </c>
      <c r="B10" s="1">
        <f>'1_Parameters'!$B$26*('3_Production_Scenarios'!B10/1.15)</f>
        <v>7703.5</v>
      </c>
      <c r="C10" s="1">
        <f>'1_Parameters'!$B$26*('3_Production_Scenarios'!C10/1.15)</f>
        <v>4628.7986956521736</v>
      </c>
      <c r="D10" s="1">
        <f>'1_Parameters'!$B$26*('3_Production_Scenarios'!D10/1.15)</f>
        <v>5338.8604347826094</v>
      </c>
      <c r="E10" s="1">
        <f>'2_Price_Trajectories'!B10</f>
        <v>5.36</v>
      </c>
      <c r="F10" s="1">
        <f t="shared" si="0"/>
        <v>41.290759999999999</v>
      </c>
      <c r="G10" s="1">
        <f t="shared" si="1"/>
        <v>24.810361008695651</v>
      </c>
      <c r="H10" s="1">
        <f t="shared" si="2"/>
        <v>28.616291930434787</v>
      </c>
    </row>
    <row r="11" spans="1:8" x14ac:dyDescent="0.2">
      <c r="A11" s="1">
        <v>2034</v>
      </c>
      <c r="B11" s="1">
        <f>'1_Parameters'!$B$26*('3_Production_Scenarios'!B11/1.15)</f>
        <v>7703.5</v>
      </c>
      <c r="C11" s="1">
        <f>'1_Parameters'!$B$26*('3_Production_Scenarios'!C11/1.15)</f>
        <v>4628.7986956521736</v>
      </c>
      <c r="D11" s="1">
        <f>'1_Parameters'!$B$26*('3_Production_Scenarios'!D11/1.15)</f>
        <v>5164.6943478260873</v>
      </c>
      <c r="E11" s="1">
        <f>'2_Price_Trajectories'!B11</f>
        <v>5.19</v>
      </c>
      <c r="F11" s="1">
        <f t="shared" si="0"/>
        <v>39.981165000000004</v>
      </c>
      <c r="G11" s="1">
        <f t="shared" si="1"/>
        <v>24.023465230434784</v>
      </c>
      <c r="H11" s="1">
        <f t="shared" si="2"/>
        <v>26.804763665217397</v>
      </c>
    </row>
    <row r="12" spans="1:8" x14ac:dyDescent="0.2">
      <c r="A12" s="1">
        <v>2035</v>
      </c>
      <c r="B12" s="1">
        <f>'1_Parameters'!$B$26*('3_Production_Scenarios'!B12/1.15)</f>
        <v>7703.5</v>
      </c>
      <c r="C12" s="1">
        <f>'1_Parameters'!$B$26*('3_Production_Scenarios'!C12/1.15)</f>
        <v>4628.7986956521736</v>
      </c>
      <c r="D12" s="1">
        <f>'1_Parameters'!$B$26*('3_Production_Scenarios'!D12/1.15)</f>
        <v>5064.2139130434789</v>
      </c>
      <c r="E12" s="1">
        <f>'2_Price_Trajectories'!B12</f>
        <v>5.0199999999999996</v>
      </c>
      <c r="F12" s="1">
        <f t="shared" si="0"/>
        <v>38.671570000000003</v>
      </c>
      <c r="G12" s="1">
        <f t="shared" si="1"/>
        <v>23.23656945217391</v>
      </c>
      <c r="H12" s="1">
        <f t="shared" si="2"/>
        <v>25.422353843478259</v>
      </c>
    </row>
    <row r="13" spans="1:8" x14ac:dyDescent="0.2">
      <c r="A13" s="1">
        <v>2036</v>
      </c>
      <c r="B13" s="1">
        <f>'1_Parameters'!$B$26*('3_Production_Scenarios'!B13/1.15)</f>
        <v>7703.5</v>
      </c>
      <c r="C13" s="1">
        <f>'1_Parameters'!$B$26*('3_Production_Scenarios'!C13/1.15)</f>
        <v>4628.7986956521736</v>
      </c>
      <c r="D13" s="1">
        <f>'1_Parameters'!$B$26*('3_Production_Scenarios'!D13/1.15)</f>
        <v>4890.0478260869568</v>
      </c>
      <c r="E13" s="1">
        <f>'2_Price_Trajectories'!B13</f>
        <v>4.84</v>
      </c>
      <c r="F13" s="1">
        <f t="shared" si="0"/>
        <v>37.284939999999999</v>
      </c>
      <c r="G13" s="1">
        <f t="shared" si="1"/>
        <v>22.403385686956522</v>
      </c>
      <c r="H13" s="1">
        <f t="shared" si="2"/>
        <v>23.667831478260869</v>
      </c>
    </row>
    <row r="14" spans="1:8" x14ac:dyDescent="0.2">
      <c r="A14" s="1">
        <v>2037</v>
      </c>
      <c r="B14" s="1">
        <f>'1_Parameters'!$B$26*('3_Production_Scenarios'!B14/1.15)</f>
        <v>7703.5</v>
      </c>
      <c r="C14" s="1">
        <f>'1_Parameters'!$B$26*('3_Production_Scenarios'!C14/1.15)</f>
        <v>4628.7986956521736</v>
      </c>
      <c r="D14" s="1">
        <f>'1_Parameters'!$B$26*('3_Production_Scenarios'!D14/1.15)</f>
        <v>4715.8817391304347</v>
      </c>
      <c r="E14" s="1">
        <f>'2_Price_Trajectories'!B14</f>
        <v>4.67</v>
      </c>
      <c r="F14" s="1">
        <f t="shared" si="0"/>
        <v>35.975345000000004</v>
      </c>
      <c r="G14" s="1">
        <f t="shared" si="1"/>
        <v>21.616489908695652</v>
      </c>
      <c r="H14" s="1">
        <f t="shared" si="2"/>
        <v>22.023167721739132</v>
      </c>
    </row>
    <row r="15" spans="1:8" x14ac:dyDescent="0.2">
      <c r="A15" s="1">
        <v>2038</v>
      </c>
      <c r="B15" s="1">
        <f>'1_Parameters'!$B$26*('3_Production_Scenarios'!B15/1.15)</f>
        <v>7703.5</v>
      </c>
      <c r="C15" s="1">
        <f>'1_Parameters'!$B$26*('3_Production_Scenarios'!C15/1.15)</f>
        <v>4628.7986956521736</v>
      </c>
      <c r="D15" s="1">
        <f>'1_Parameters'!$B$26*('3_Production_Scenarios'!D15/1.15)</f>
        <v>4541.7156521739134</v>
      </c>
      <c r="E15" s="1">
        <f>'2_Price_Trajectories'!B15</f>
        <v>4.5</v>
      </c>
      <c r="F15" s="1">
        <f t="shared" si="0"/>
        <v>34.665750000000003</v>
      </c>
      <c r="G15" s="1">
        <f t="shared" si="1"/>
        <v>20.829594130434781</v>
      </c>
      <c r="H15" s="1">
        <f t="shared" si="2"/>
        <v>20.437720434782612</v>
      </c>
    </row>
    <row r="16" spans="1:8" x14ac:dyDescent="0.2">
      <c r="A16" s="1">
        <v>2039</v>
      </c>
      <c r="B16" s="1">
        <f>'1_Parameters'!$B$26*('3_Production_Scenarios'!B16/1.15)</f>
        <v>7703.5</v>
      </c>
      <c r="C16" s="1">
        <f>'1_Parameters'!$B$26*('3_Production_Scenarios'!C16/1.15)</f>
        <v>4628.7986956521736</v>
      </c>
      <c r="D16" s="1">
        <f>'1_Parameters'!$B$26*('3_Production_Scenarios'!D16/1.15)</f>
        <v>4367.5495652173913</v>
      </c>
      <c r="E16" s="1">
        <f>'2_Price_Trajectories'!B16</f>
        <v>4.33</v>
      </c>
      <c r="F16" s="1">
        <f t="shared" si="0"/>
        <v>33.356155000000001</v>
      </c>
      <c r="G16" s="1">
        <f t="shared" si="1"/>
        <v>20.042698352173915</v>
      </c>
      <c r="H16" s="1">
        <f t="shared" si="2"/>
        <v>18.911489617391304</v>
      </c>
    </row>
    <row r="17" spans="1:8" x14ac:dyDescent="0.2">
      <c r="A17" s="1">
        <v>2040</v>
      </c>
      <c r="B17" s="1">
        <f>'1_Parameters'!$B$26*('3_Production_Scenarios'!B17/1.15)</f>
        <v>7703.5</v>
      </c>
      <c r="C17" s="1">
        <f>'1_Parameters'!$B$26*('3_Production_Scenarios'!C17/1.15)</f>
        <v>4628.7986956521736</v>
      </c>
      <c r="D17" s="1">
        <f>'1_Parameters'!$B$26*('3_Production_Scenarios'!D17/1.15)</f>
        <v>4019.2173913043475</v>
      </c>
      <c r="E17" s="1">
        <f>'2_Price_Trajectories'!B17</f>
        <v>4.16</v>
      </c>
      <c r="F17" s="1">
        <f t="shared" si="0"/>
        <v>32.046559999999999</v>
      </c>
      <c r="G17" s="1">
        <f t="shared" si="1"/>
        <v>19.255802573913044</v>
      </c>
      <c r="H17" s="1">
        <f t="shared" si="2"/>
        <v>16.719944347826086</v>
      </c>
    </row>
    <row r="18" spans="1:8" x14ac:dyDescent="0.2">
      <c r="A18" s="1">
        <v>2041</v>
      </c>
      <c r="B18" s="1">
        <f>'1_Parameters'!$B$26*('3_Production_Scenarios'!B18/1.15)</f>
        <v>7703.5</v>
      </c>
      <c r="C18" s="1">
        <f>'1_Parameters'!$B$26*('3_Production_Scenarios'!C18/1.15)</f>
        <v>4628.7986956521736</v>
      </c>
      <c r="D18" s="1">
        <f>'1_Parameters'!$B$26*('3_Production_Scenarios'!D18/1.15)</f>
        <v>4019.2173913043475</v>
      </c>
      <c r="E18" s="1">
        <f>'2_Price_Trajectories'!B18</f>
        <v>3.99</v>
      </c>
      <c r="F18" s="1">
        <f t="shared" si="0"/>
        <v>30.736965000000001</v>
      </c>
      <c r="G18" s="1">
        <f t="shared" si="1"/>
        <v>18.46890679565217</v>
      </c>
      <c r="H18" s="1">
        <f t="shared" si="2"/>
        <v>16.036677391304348</v>
      </c>
    </row>
    <row r="19" spans="1:8" x14ac:dyDescent="0.2">
      <c r="A19" s="1">
        <v>2042</v>
      </c>
      <c r="B19" s="1">
        <f>'1_Parameters'!$B$26*('3_Production_Scenarios'!B19/1.15)</f>
        <v>7703.5</v>
      </c>
      <c r="C19" s="1">
        <f>'1_Parameters'!$B$26*('3_Production_Scenarios'!C19/1.15)</f>
        <v>4628.7986956521736</v>
      </c>
      <c r="D19" s="1">
        <f>'1_Parameters'!$B$26*('3_Production_Scenarios'!D19/1.15)</f>
        <v>4019.2173913043475</v>
      </c>
      <c r="E19" s="1">
        <f>'2_Price_Trajectories'!B19</f>
        <v>3.82</v>
      </c>
      <c r="F19" s="1">
        <f t="shared" si="0"/>
        <v>29.42737</v>
      </c>
      <c r="G19" s="1">
        <f t="shared" si="1"/>
        <v>17.6820110173913</v>
      </c>
      <c r="H19" s="1">
        <f t="shared" si="2"/>
        <v>15.353410434782607</v>
      </c>
    </row>
    <row r="20" spans="1:8" x14ac:dyDescent="0.2">
      <c r="A20" s="1">
        <v>2043</v>
      </c>
      <c r="B20" s="1">
        <f>'1_Parameters'!$B$26*('3_Production_Scenarios'!B20/1.15)</f>
        <v>7703.5</v>
      </c>
      <c r="C20" s="1">
        <f>'1_Parameters'!$B$26*('3_Production_Scenarios'!C20/1.15)</f>
        <v>4628.7986956521736</v>
      </c>
      <c r="D20" s="1">
        <f>'1_Parameters'!$B$26*('3_Production_Scenarios'!D20/1.15)</f>
        <v>4019.2173913043475</v>
      </c>
      <c r="E20" s="1">
        <f>'2_Price_Trajectories'!B20</f>
        <v>3.65</v>
      </c>
      <c r="F20" s="1">
        <f t="shared" si="0"/>
        <v>28.117774999999998</v>
      </c>
      <c r="G20" s="1">
        <f t="shared" si="1"/>
        <v>16.895115239130433</v>
      </c>
      <c r="H20" s="1">
        <f t="shared" si="2"/>
        <v>14.670143478260869</v>
      </c>
    </row>
    <row r="21" spans="1:8" x14ac:dyDescent="0.2">
      <c r="A21" s="1">
        <v>2044</v>
      </c>
      <c r="B21" s="1">
        <f>'1_Parameters'!$B$26*('3_Production_Scenarios'!B21/1.15)</f>
        <v>7703.5</v>
      </c>
      <c r="C21" s="1">
        <f>'1_Parameters'!$B$26*('3_Production_Scenarios'!C21/1.15)</f>
        <v>4628.7986956521736</v>
      </c>
      <c r="D21" s="1">
        <f>'1_Parameters'!$B$26*('3_Production_Scenarios'!D21/1.15)</f>
        <v>4019.2173913043475</v>
      </c>
      <c r="E21" s="1">
        <f>'2_Price_Trajectories'!B21</f>
        <v>3.48</v>
      </c>
      <c r="F21" s="1">
        <f t="shared" si="0"/>
        <v>26.80818</v>
      </c>
      <c r="G21" s="1">
        <f t="shared" si="1"/>
        <v>16.108219460869563</v>
      </c>
      <c r="H21" s="1">
        <f t="shared" si="2"/>
        <v>13.986876521739131</v>
      </c>
    </row>
    <row r="22" spans="1:8" x14ac:dyDescent="0.2">
      <c r="A22" s="1">
        <v>2045</v>
      </c>
      <c r="B22" s="1">
        <f>'1_Parameters'!$B$26*('3_Production_Scenarios'!B22/1.15)</f>
        <v>7703.5</v>
      </c>
      <c r="C22" s="1">
        <f>'1_Parameters'!$B$26*('3_Production_Scenarios'!C22/1.15)</f>
        <v>4628.7986956521736</v>
      </c>
      <c r="D22" s="1">
        <f>'1_Parameters'!$B$26*('3_Production_Scenarios'!D22/1.15)</f>
        <v>4019.2173913043475</v>
      </c>
      <c r="E22" s="1">
        <f>'2_Price_Trajectories'!B22</f>
        <v>3.31</v>
      </c>
      <c r="F22" s="1">
        <f t="shared" si="0"/>
        <v>25.498584999999999</v>
      </c>
      <c r="G22" s="1">
        <f t="shared" si="1"/>
        <v>15.321323682608694</v>
      </c>
      <c r="H22" s="1">
        <f t="shared" si="2"/>
        <v>13.303609565217389</v>
      </c>
    </row>
    <row r="23" spans="1:8" x14ac:dyDescent="0.2">
      <c r="A23" s="1">
        <v>2046</v>
      </c>
      <c r="B23" s="1">
        <f>'1_Parameters'!$B$26*('3_Production_Scenarios'!B23/1.15)</f>
        <v>7703.5</v>
      </c>
      <c r="C23" s="1">
        <f>'1_Parameters'!$B$26*('3_Production_Scenarios'!C23/1.15)</f>
        <v>4628.7986956521736</v>
      </c>
      <c r="D23" s="1">
        <f>'1_Parameters'!$B$26*('3_Production_Scenarios'!D23/1.15)</f>
        <v>4019.2173913043475</v>
      </c>
      <c r="E23" s="1">
        <f>'2_Price_Trajectories'!B23</f>
        <v>3.17</v>
      </c>
      <c r="F23" s="1">
        <f t="shared" si="0"/>
        <v>24.420095</v>
      </c>
      <c r="G23" s="1">
        <f t="shared" si="1"/>
        <v>14.67329186521739</v>
      </c>
      <c r="H23" s="1">
        <f t="shared" si="2"/>
        <v>12.740919130434781</v>
      </c>
    </row>
    <row r="24" spans="1:8" x14ac:dyDescent="0.2">
      <c r="A24" s="1">
        <v>2047</v>
      </c>
      <c r="B24" s="1">
        <f>'1_Parameters'!$B$26*('3_Production_Scenarios'!B24/1.15)</f>
        <v>7703.5</v>
      </c>
      <c r="C24" s="1">
        <f>'1_Parameters'!$B$26*('3_Production_Scenarios'!C24/1.15)</f>
        <v>4628.7986956521736</v>
      </c>
      <c r="D24" s="1">
        <f>'1_Parameters'!$B$26*('3_Production_Scenarios'!D24/1.15)</f>
        <v>4019.2173913043475</v>
      </c>
      <c r="E24" s="1">
        <f>'2_Price_Trajectories'!B24</f>
        <v>3.04</v>
      </c>
      <c r="F24" s="1">
        <f t="shared" si="0"/>
        <v>23.41864</v>
      </c>
      <c r="G24" s="1">
        <f t="shared" si="1"/>
        <v>14.071548034782609</v>
      </c>
      <c r="H24" s="1">
        <f t="shared" si="2"/>
        <v>12.218420869565216</v>
      </c>
    </row>
    <row r="25" spans="1:8" x14ac:dyDescent="0.2">
      <c r="A25" s="1">
        <v>2048</v>
      </c>
      <c r="B25" s="1">
        <f>'1_Parameters'!$B$26*('3_Production_Scenarios'!B25/1.15)</f>
        <v>7703.5</v>
      </c>
      <c r="C25" s="1">
        <f>'1_Parameters'!$B$26*('3_Production_Scenarios'!C25/1.15)</f>
        <v>4628.7986956521736</v>
      </c>
      <c r="D25" s="1">
        <f>'1_Parameters'!$B$26*('3_Production_Scenarios'!D25/1.15)</f>
        <v>4019.2173913043475</v>
      </c>
      <c r="E25" s="1">
        <f>'2_Price_Trajectories'!B25</f>
        <v>2.9</v>
      </c>
      <c r="F25" s="1">
        <f t="shared" si="0"/>
        <v>22.340149999999998</v>
      </c>
      <c r="G25" s="1">
        <f t="shared" si="1"/>
        <v>13.423516217391303</v>
      </c>
      <c r="H25" s="1">
        <f t="shared" si="2"/>
        <v>11.655730434782607</v>
      </c>
    </row>
    <row r="26" spans="1:8" x14ac:dyDescent="0.2">
      <c r="A26" s="1">
        <v>2049</v>
      </c>
      <c r="B26" s="1">
        <f>'1_Parameters'!$B$26*('3_Production_Scenarios'!B26/1.15)</f>
        <v>7703.5</v>
      </c>
      <c r="C26" s="1">
        <f>'1_Parameters'!$B$26*('3_Production_Scenarios'!C26/1.15)</f>
        <v>4628.7986956521736</v>
      </c>
      <c r="D26" s="1">
        <f>'1_Parameters'!$B$26*('3_Production_Scenarios'!D26/1.15)</f>
        <v>4019.2173913043475</v>
      </c>
      <c r="E26" s="1">
        <f>'2_Price_Trajectories'!B26</f>
        <v>2.76</v>
      </c>
      <c r="F26" s="1">
        <f t="shared" si="0"/>
        <v>21.261659999999999</v>
      </c>
      <c r="G26" s="1">
        <f t="shared" si="1"/>
        <v>12.775484399999998</v>
      </c>
      <c r="H26" s="1">
        <f t="shared" si="2"/>
        <v>11.093039999999998</v>
      </c>
    </row>
    <row r="27" spans="1:8" x14ac:dyDescent="0.2">
      <c r="A27" s="1">
        <v>2050</v>
      </c>
      <c r="B27" s="1">
        <f>'1_Parameters'!$B$26*('3_Production_Scenarios'!B27/1.15)</f>
        <v>7703.5</v>
      </c>
      <c r="C27" s="1">
        <f>'1_Parameters'!$B$26*('3_Production_Scenarios'!C27/1.15)</f>
        <v>4628.7986956521736</v>
      </c>
      <c r="D27" s="1">
        <f>'1_Parameters'!$B$26*('3_Production_Scenarios'!D27/1.15)</f>
        <v>4019.2173913043475</v>
      </c>
      <c r="E27" s="1">
        <f>'2_Price_Trajectories'!B27</f>
        <v>2.63</v>
      </c>
      <c r="F27" s="1">
        <f t="shared" si="0"/>
        <v>20.260204999999999</v>
      </c>
      <c r="G27" s="1">
        <f t="shared" si="1"/>
        <v>12.173740569565217</v>
      </c>
      <c r="H27" s="1">
        <f t="shared" si="2"/>
        <v>10.570541739130432</v>
      </c>
    </row>
    <row r="28" spans="1:8" x14ac:dyDescent="0.2">
      <c r="A28" s="5" t="s">
        <v>45</v>
      </c>
      <c r="F28" s="5">
        <f>SUM(F7:F27)</f>
        <v>677.44578999999999</v>
      </c>
      <c r="G28" s="5">
        <f>SUM(G7:G27)</f>
        <v>407.05655729565206</v>
      </c>
      <c r="H28" s="5">
        <f>SUM(H7:H27)</f>
        <v>411.65862819565211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/>
  </sheetViews>
  <sheetFormatPr baseColWidth="10" defaultColWidth="8.83203125" defaultRowHeight="15" x14ac:dyDescent="0.2"/>
  <cols>
    <col min="1" max="8" width="20" customWidth="1"/>
  </cols>
  <sheetData>
    <row r="1" spans="1:8" x14ac:dyDescent="0.2">
      <c r="A1" s="4" t="s">
        <v>29</v>
      </c>
      <c r="B1" s="4" t="s">
        <v>46</v>
      </c>
      <c r="C1" s="4" t="s">
        <v>47</v>
      </c>
      <c r="D1" s="4" t="s">
        <v>48</v>
      </c>
      <c r="E1" s="4" t="s">
        <v>31</v>
      </c>
      <c r="F1" s="4" t="s">
        <v>49</v>
      </c>
      <c r="G1" s="4" t="s">
        <v>43</v>
      </c>
      <c r="H1" s="4" t="s">
        <v>44</v>
      </c>
    </row>
    <row r="2" spans="1:8" x14ac:dyDescent="0.2">
      <c r="A2" s="1">
        <v>2025</v>
      </c>
      <c r="B2" s="1">
        <f>'1_Parameters'!$B$27*('3_Production_Scenarios'!B2/1.15)</f>
        <v>143.04347826086959</v>
      </c>
      <c r="C2" s="1">
        <f>'1_Parameters'!$B$27*('3_Production_Scenarios'!C2/1.15)</f>
        <v>143.04347826086959</v>
      </c>
      <c r="D2" s="1">
        <f>'1_Parameters'!$B$27*('3_Production_Scenarios'!D2/1.15)</f>
        <v>143.04347826086959</v>
      </c>
      <c r="E2" s="1">
        <f>'2_Price_Trajectories'!C2</f>
        <v>129.29</v>
      </c>
      <c r="F2" s="1">
        <f t="shared" ref="F2:F27" si="0">B2*E2/1000</f>
        <v>18.49409130434783</v>
      </c>
      <c r="G2" s="1">
        <f t="shared" ref="G2:G27" si="1">C2*E2/1000</f>
        <v>18.49409130434783</v>
      </c>
      <c r="H2" s="1">
        <f t="shared" ref="H2:H27" si="2">D2*E2/1000</f>
        <v>18.49409130434783</v>
      </c>
    </row>
    <row r="3" spans="1:8" x14ac:dyDescent="0.2">
      <c r="A3" s="1">
        <v>2026</v>
      </c>
      <c r="B3" s="1">
        <f>'1_Parameters'!$B$27*('3_Production_Scenarios'!B3/1.15)</f>
        <v>164.5</v>
      </c>
      <c r="C3" s="1">
        <f>'1_Parameters'!$B$27*('3_Production_Scenarios'!C3/1.15)</f>
        <v>98.843043478260867</v>
      </c>
      <c r="D3" s="1">
        <f>'1_Parameters'!$B$27*('3_Production_Scenarios'!D3/1.15)</f>
        <v>138.75217391304349</v>
      </c>
      <c r="E3" s="1">
        <f>'2_Price_Trajectories'!C3</f>
        <v>134.46</v>
      </c>
      <c r="F3" s="1">
        <f t="shared" si="0"/>
        <v>22.118670000000002</v>
      </c>
      <c r="G3" s="1">
        <f t="shared" si="1"/>
        <v>13.290435626086957</v>
      </c>
      <c r="H3" s="1">
        <f t="shared" si="2"/>
        <v>18.656617304347829</v>
      </c>
    </row>
    <row r="4" spans="1:8" x14ac:dyDescent="0.2">
      <c r="A4" s="1">
        <v>2027</v>
      </c>
      <c r="B4" s="1">
        <f>'1_Parameters'!$B$27*('3_Production_Scenarios'!B4/1.15)</f>
        <v>164.5</v>
      </c>
      <c r="C4" s="1">
        <f>'1_Parameters'!$B$27*('3_Production_Scenarios'!C4/1.15)</f>
        <v>98.843043478260867</v>
      </c>
      <c r="D4" s="1">
        <f>'1_Parameters'!$B$27*('3_Production_Scenarios'!D4/1.15)</f>
        <v>135.03304347826088</v>
      </c>
      <c r="E4" s="1">
        <f>'2_Price_Trajectories'!C4</f>
        <v>139.84</v>
      </c>
      <c r="F4" s="1">
        <f t="shared" si="0"/>
        <v>23.003679999999999</v>
      </c>
      <c r="G4" s="1">
        <f t="shared" si="1"/>
        <v>13.8222112</v>
      </c>
      <c r="H4" s="1">
        <f t="shared" si="2"/>
        <v>18.883020800000001</v>
      </c>
    </row>
    <row r="5" spans="1:8" x14ac:dyDescent="0.2">
      <c r="A5" s="1">
        <v>2028</v>
      </c>
      <c r="B5" s="1">
        <f>'1_Parameters'!$B$27*('3_Production_Scenarios'!B5/1.15)</f>
        <v>164.5</v>
      </c>
      <c r="C5" s="1">
        <f>'1_Parameters'!$B$27*('3_Production_Scenarios'!C5/1.15)</f>
        <v>98.843043478260867</v>
      </c>
      <c r="D5" s="1">
        <f>'1_Parameters'!$B$27*('3_Production_Scenarios'!D5/1.15)</f>
        <v>131.1708695652174</v>
      </c>
      <c r="E5" s="1">
        <f>'2_Price_Trajectories'!C5</f>
        <v>145.43</v>
      </c>
      <c r="F5" s="1">
        <f t="shared" si="0"/>
        <v>23.923235000000002</v>
      </c>
      <c r="G5" s="1">
        <f t="shared" si="1"/>
        <v>14.374743813043478</v>
      </c>
      <c r="H5" s="1">
        <f t="shared" si="2"/>
        <v>19.076179560869569</v>
      </c>
    </row>
    <row r="6" spans="1:8" x14ac:dyDescent="0.2">
      <c r="A6" s="1">
        <v>2029</v>
      </c>
      <c r="B6" s="1">
        <f>'1_Parameters'!$B$27*('3_Production_Scenarios'!B6/1.15)</f>
        <v>164.5</v>
      </c>
      <c r="C6" s="1">
        <f>'1_Parameters'!$B$27*('3_Production_Scenarios'!C6/1.15)</f>
        <v>98.843043478260867</v>
      </c>
      <c r="D6" s="1">
        <f>'1_Parameters'!$B$27*('3_Production_Scenarios'!D6/1.15)</f>
        <v>127.4517391304348</v>
      </c>
      <c r="E6" s="1">
        <f>'2_Price_Trajectories'!C6</f>
        <v>151.25</v>
      </c>
      <c r="F6" s="1">
        <f t="shared" si="0"/>
        <v>24.880624999999998</v>
      </c>
      <c r="G6" s="1">
        <f t="shared" si="1"/>
        <v>14.950010326086957</v>
      </c>
      <c r="H6" s="1">
        <f t="shared" si="2"/>
        <v>19.277075543478261</v>
      </c>
    </row>
    <row r="7" spans="1:8" x14ac:dyDescent="0.2">
      <c r="A7" s="1">
        <v>2030</v>
      </c>
      <c r="B7" s="1">
        <f>'1_Parameters'!$B$27*('3_Production_Scenarios'!B7/1.15)</f>
        <v>164.5</v>
      </c>
      <c r="C7" s="1">
        <f>'1_Parameters'!$B$27*('3_Production_Scenarios'!C7/1.15)</f>
        <v>98.843043478260867</v>
      </c>
      <c r="D7" s="1">
        <f>'1_Parameters'!$B$27*('3_Production_Scenarios'!D7/1.15)</f>
        <v>125.16304347826087</v>
      </c>
      <c r="E7" s="1">
        <f>'2_Price_Trajectories'!C7</f>
        <v>157.30000000000001</v>
      </c>
      <c r="F7" s="1">
        <f t="shared" si="0"/>
        <v>25.875850000000003</v>
      </c>
      <c r="G7" s="1">
        <f t="shared" si="1"/>
        <v>15.548010739130435</v>
      </c>
      <c r="H7" s="1">
        <f t="shared" si="2"/>
        <v>19.688146739130435</v>
      </c>
    </row>
    <row r="8" spans="1:8" x14ac:dyDescent="0.2">
      <c r="A8" s="1">
        <v>2031</v>
      </c>
      <c r="B8" s="1">
        <f>'1_Parameters'!$B$27*('3_Production_Scenarios'!B8/1.15)</f>
        <v>164.5</v>
      </c>
      <c r="C8" s="1">
        <f>'1_Parameters'!$B$27*('3_Production_Scenarios'!C8/1.15)</f>
        <v>98.843043478260867</v>
      </c>
      <c r="D8" s="1">
        <f>'1_Parameters'!$B$27*('3_Production_Scenarios'!D8/1.15)</f>
        <v>121.44391304347826</v>
      </c>
      <c r="E8" s="1">
        <f>'2_Price_Trajectories'!C8</f>
        <v>163.59</v>
      </c>
      <c r="F8" s="1">
        <f t="shared" si="0"/>
        <v>26.910554999999999</v>
      </c>
      <c r="G8" s="1">
        <f t="shared" si="1"/>
        <v>16.169733482608695</v>
      </c>
      <c r="H8" s="1">
        <f t="shared" si="2"/>
        <v>19.867009734782609</v>
      </c>
    </row>
    <row r="9" spans="1:8" x14ac:dyDescent="0.2">
      <c r="A9" s="1">
        <v>2032</v>
      </c>
      <c r="B9" s="1">
        <f>'1_Parameters'!$B$27*('3_Production_Scenarios'!B9/1.15)</f>
        <v>164.5</v>
      </c>
      <c r="C9" s="1">
        <f>'1_Parameters'!$B$27*('3_Production_Scenarios'!C9/1.15)</f>
        <v>98.843043478260867</v>
      </c>
      <c r="D9" s="1">
        <f>'1_Parameters'!$B$27*('3_Production_Scenarios'!D9/1.15)</f>
        <v>117.72478260869565</v>
      </c>
      <c r="E9" s="1">
        <f>'2_Price_Trajectories'!C9</f>
        <v>170.13</v>
      </c>
      <c r="F9" s="1">
        <f t="shared" si="0"/>
        <v>27.986384999999999</v>
      </c>
      <c r="G9" s="1">
        <f t="shared" si="1"/>
        <v>16.816166986956521</v>
      </c>
      <c r="H9" s="1">
        <f t="shared" si="2"/>
        <v>20.028517265217388</v>
      </c>
    </row>
    <row r="10" spans="1:8" x14ac:dyDescent="0.2">
      <c r="A10" s="1">
        <v>2033</v>
      </c>
      <c r="B10" s="1">
        <f>'1_Parameters'!$B$27*('3_Production_Scenarios'!B10/1.15)</f>
        <v>164.5</v>
      </c>
      <c r="C10" s="1">
        <f>'1_Parameters'!$B$27*('3_Production_Scenarios'!C10/1.15)</f>
        <v>98.843043478260867</v>
      </c>
      <c r="D10" s="1">
        <f>'1_Parameters'!$B$27*('3_Production_Scenarios'!D10/1.15)</f>
        <v>114.00565217391306</v>
      </c>
      <c r="E10" s="1">
        <f>'2_Price_Trajectories'!C10</f>
        <v>176.94</v>
      </c>
      <c r="F10" s="1">
        <f t="shared" si="0"/>
        <v>29.106630000000003</v>
      </c>
      <c r="G10" s="1">
        <f t="shared" si="1"/>
        <v>17.489288113043475</v>
      </c>
      <c r="H10" s="1">
        <f t="shared" si="2"/>
        <v>20.172160095652178</v>
      </c>
    </row>
    <row r="11" spans="1:8" x14ac:dyDescent="0.2">
      <c r="A11" s="1">
        <v>2034</v>
      </c>
      <c r="B11" s="1">
        <f>'1_Parameters'!$B$27*('3_Production_Scenarios'!B11/1.15)</f>
        <v>164.5</v>
      </c>
      <c r="C11" s="1">
        <f>'1_Parameters'!$B$27*('3_Production_Scenarios'!C11/1.15)</f>
        <v>98.843043478260867</v>
      </c>
      <c r="D11" s="1">
        <f>'1_Parameters'!$B$27*('3_Production_Scenarios'!D11/1.15)</f>
        <v>110.28652173913045</v>
      </c>
      <c r="E11" s="1">
        <f>'2_Price_Trajectories'!C11</f>
        <v>184.02</v>
      </c>
      <c r="F11" s="1">
        <f t="shared" si="0"/>
        <v>30.27129</v>
      </c>
      <c r="G11" s="1">
        <f t="shared" si="1"/>
        <v>18.189096860869565</v>
      </c>
      <c r="H11" s="1">
        <f t="shared" si="2"/>
        <v>20.294925730434784</v>
      </c>
    </row>
    <row r="12" spans="1:8" x14ac:dyDescent="0.2">
      <c r="A12" s="1">
        <v>2035</v>
      </c>
      <c r="B12" s="1">
        <f>'1_Parameters'!$B$27*('3_Production_Scenarios'!B12/1.15)</f>
        <v>164.5</v>
      </c>
      <c r="C12" s="1">
        <f>'1_Parameters'!$B$27*('3_Production_Scenarios'!C12/1.15)</f>
        <v>98.843043478260867</v>
      </c>
      <c r="D12" s="1">
        <f>'1_Parameters'!$B$27*('3_Production_Scenarios'!D12/1.15)</f>
        <v>108.1408695652174</v>
      </c>
      <c r="E12" s="1">
        <f>'2_Price_Trajectories'!C12</f>
        <v>191.38</v>
      </c>
      <c r="F12" s="1">
        <f t="shared" si="0"/>
        <v>31.482009999999999</v>
      </c>
      <c r="G12" s="1">
        <f t="shared" si="1"/>
        <v>18.916581660869564</v>
      </c>
      <c r="H12" s="1">
        <f t="shared" si="2"/>
        <v>20.695999617391305</v>
      </c>
    </row>
    <row r="13" spans="1:8" x14ac:dyDescent="0.2">
      <c r="A13" s="1">
        <v>2036</v>
      </c>
      <c r="B13" s="1">
        <f>'1_Parameters'!$B$27*('3_Production_Scenarios'!B13/1.15)</f>
        <v>164.5</v>
      </c>
      <c r="C13" s="1">
        <f>'1_Parameters'!$B$27*('3_Production_Scenarios'!C13/1.15)</f>
        <v>98.843043478260867</v>
      </c>
      <c r="D13" s="1">
        <f>'1_Parameters'!$B$27*('3_Production_Scenarios'!D13/1.15)</f>
        <v>104.42173913043479</v>
      </c>
      <c r="E13" s="1">
        <f>'2_Price_Trajectories'!C13</f>
        <v>191.38</v>
      </c>
      <c r="F13" s="1">
        <f t="shared" si="0"/>
        <v>31.482009999999999</v>
      </c>
      <c r="G13" s="1">
        <f t="shared" si="1"/>
        <v>18.916581660869564</v>
      </c>
      <c r="H13" s="1">
        <f t="shared" si="2"/>
        <v>19.984232434782612</v>
      </c>
    </row>
    <row r="14" spans="1:8" x14ac:dyDescent="0.2">
      <c r="A14" s="1">
        <v>2037</v>
      </c>
      <c r="B14" s="1">
        <f>'1_Parameters'!$B$27*('3_Production_Scenarios'!B14/1.15)</f>
        <v>164.5</v>
      </c>
      <c r="C14" s="1">
        <f>'1_Parameters'!$B$27*('3_Production_Scenarios'!C14/1.15)</f>
        <v>98.843043478260867</v>
      </c>
      <c r="D14" s="1">
        <f>'1_Parameters'!$B$27*('3_Production_Scenarios'!D14/1.15)</f>
        <v>100.70260869565217</v>
      </c>
      <c r="E14" s="1">
        <f>'2_Price_Trajectories'!C14</f>
        <v>191.38</v>
      </c>
      <c r="F14" s="1">
        <f t="shared" si="0"/>
        <v>31.482009999999999</v>
      </c>
      <c r="G14" s="1">
        <f t="shared" si="1"/>
        <v>18.916581660869564</v>
      </c>
      <c r="H14" s="1">
        <f t="shared" si="2"/>
        <v>19.272465252173912</v>
      </c>
    </row>
    <row r="15" spans="1:8" x14ac:dyDescent="0.2">
      <c r="A15" s="1">
        <v>2038</v>
      </c>
      <c r="B15" s="1">
        <f>'1_Parameters'!$B$27*('3_Production_Scenarios'!B15/1.15)</f>
        <v>164.5</v>
      </c>
      <c r="C15" s="1">
        <f>'1_Parameters'!$B$27*('3_Production_Scenarios'!C15/1.15)</f>
        <v>98.843043478260867</v>
      </c>
      <c r="D15" s="1">
        <f>'1_Parameters'!$B$27*('3_Production_Scenarios'!D15/1.15)</f>
        <v>96.983478260869575</v>
      </c>
      <c r="E15" s="1">
        <f>'2_Price_Trajectories'!C15</f>
        <v>191.38</v>
      </c>
      <c r="F15" s="1">
        <f t="shared" si="0"/>
        <v>31.482009999999999</v>
      </c>
      <c r="G15" s="1">
        <f t="shared" si="1"/>
        <v>18.916581660869564</v>
      </c>
      <c r="H15" s="1">
        <f t="shared" si="2"/>
        <v>18.56069806956522</v>
      </c>
    </row>
    <row r="16" spans="1:8" x14ac:dyDescent="0.2">
      <c r="A16" s="1">
        <v>2039</v>
      </c>
      <c r="B16" s="1">
        <f>'1_Parameters'!$B$27*('3_Production_Scenarios'!B16/1.15)</f>
        <v>164.5</v>
      </c>
      <c r="C16" s="1">
        <f>'1_Parameters'!$B$27*('3_Production_Scenarios'!C16/1.15)</f>
        <v>98.843043478260867</v>
      </c>
      <c r="D16" s="1">
        <f>'1_Parameters'!$B$27*('3_Production_Scenarios'!D16/1.15)</f>
        <v>93.264347826086961</v>
      </c>
      <c r="E16" s="1">
        <f>'2_Price_Trajectories'!C16</f>
        <v>191.38</v>
      </c>
      <c r="F16" s="1">
        <f t="shared" si="0"/>
        <v>31.482009999999999</v>
      </c>
      <c r="G16" s="1">
        <f t="shared" si="1"/>
        <v>18.916581660869564</v>
      </c>
      <c r="H16" s="1">
        <f t="shared" si="2"/>
        <v>17.84893088695652</v>
      </c>
    </row>
    <row r="17" spans="1:8" x14ac:dyDescent="0.2">
      <c r="A17" s="1">
        <v>2040</v>
      </c>
      <c r="B17" s="1">
        <f>'1_Parameters'!$B$27*('3_Production_Scenarios'!B17/1.15)</f>
        <v>164.5</v>
      </c>
      <c r="C17" s="1">
        <f>'1_Parameters'!$B$27*('3_Production_Scenarios'!C17/1.15)</f>
        <v>98.843043478260867</v>
      </c>
      <c r="D17" s="1">
        <f>'1_Parameters'!$B$27*('3_Production_Scenarios'!D17/1.15)</f>
        <v>85.826086956521735</v>
      </c>
      <c r="E17" s="1">
        <f>'2_Price_Trajectories'!C17</f>
        <v>191.38</v>
      </c>
      <c r="F17" s="1">
        <f t="shared" si="0"/>
        <v>31.482009999999999</v>
      </c>
      <c r="G17" s="1">
        <f t="shared" si="1"/>
        <v>18.916581660869564</v>
      </c>
      <c r="H17" s="1">
        <f t="shared" si="2"/>
        <v>16.425396521739131</v>
      </c>
    </row>
    <row r="18" spans="1:8" x14ac:dyDescent="0.2">
      <c r="A18" s="1">
        <v>2041</v>
      </c>
      <c r="B18" s="1">
        <f>'1_Parameters'!$B$27*('3_Production_Scenarios'!B18/1.15)</f>
        <v>164.5</v>
      </c>
      <c r="C18" s="1">
        <f>'1_Parameters'!$B$27*('3_Production_Scenarios'!C18/1.15)</f>
        <v>98.843043478260867</v>
      </c>
      <c r="D18" s="1">
        <f>'1_Parameters'!$B$27*('3_Production_Scenarios'!D18/1.15)</f>
        <v>85.826086956521735</v>
      </c>
      <c r="E18" s="1">
        <f>'2_Price_Trajectories'!C18</f>
        <v>191.38</v>
      </c>
      <c r="F18" s="1">
        <f t="shared" si="0"/>
        <v>31.482009999999999</v>
      </c>
      <c r="G18" s="1">
        <f t="shared" si="1"/>
        <v>18.916581660869564</v>
      </c>
      <c r="H18" s="1">
        <f t="shared" si="2"/>
        <v>16.425396521739131</v>
      </c>
    </row>
    <row r="19" spans="1:8" x14ac:dyDescent="0.2">
      <c r="A19" s="1">
        <v>2042</v>
      </c>
      <c r="B19" s="1">
        <f>'1_Parameters'!$B$27*('3_Production_Scenarios'!B19/1.15)</f>
        <v>164.5</v>
      </c>
      <c r="C19" s="1">
        <f>'1_Parameters'!$B$27*('3_Production_Scenarios'!C19/1.15)</f>
        <v>98.843043478260867</v>
      </c>
      <c r="D19" s="1">
        <f>'1_Parameters'!$B$27*('3_Production_Scenarios'!D19/1.15)</f>
        <v>85.826086956521735</v>
      </c>
      <c r="E19" s="1">
        <f>'2_Price_Trajectories'!C19</f>
        <v>191.38</v>
      </c>
      <c r="F19" s="1">
        <f t="shared" si="0"/>
        <v>31.482009999999999</v>
      </c>
      <c r="G19" s="1">
        <f t="shared" si="1"/>
        <v>18.916581660869564</v>
      </c>
      <c r="H19" s="1">
        <f t="shared" si="2"/>
        <v>16.425396521739131</v>
      </c>
    </row>
    <row r="20" spans="1:8" x14ac:dyDescent="0.2">
      <c r="A20" s="1">
        <v>2043</v>
      </c>
      <c r="B20" s="1">
        <f>'1_Parameters'!$B$27*('3_Production_Scenarios'!B20/1.15)</f>
        <v>164.5</v>
      </c>
      <c r="C20" s="1">
        <f>'1_Parameters'!$B$27*('3_Production_Scenarios'!C20/1.15)</f>
        <v>98.843043478260867</v>
      </c>
      <c r="D20" s="1">
        <f>'1_Parameters'!$B$27*('3_Production_Scenarios'!D20/1.15)</f>
        <v>85.826086956521735</v>
      </c>
      <c r="E20" s="1">
        <f>'2_Price_Trajectories'!C20</f>
        <v>191.38</v>
      </c>
      <c r="F20" s="1">
        <f t="shared" si="0"/>
        <v>31.482009999999999</v>
      </c>
      <c r="G20" s="1">
        <f t="shared" si="1"/>
        <v>18.916581660869564</v>
      </c>
      <c r="H20" s="1">
        <f t="shared" si="2"/>
        <v>16.425396521739131</v>
      </c>
    </row>
    <row r="21" spans="1:8" x14ac:dyDescent="0.2">
      <c r="A21" s="1">
        <v>2044</v>
      </c>
      <c r="B21" s="1">
        <f>'1_Parameters'!$B$27*('3_Production_Scenarios'!B21/1.15)</f>
        <v>164.5</v>
      </c>
      <c r="C21" s="1">
        <f>'1_Parameters'!$B$27*('3_Production_Scenarios'!C21/1.15)</f>
        <v>98.843043478260867</v>
      </c>
      <c r="D21" s="1">
        <f>'1_Parameters'!$B$27*('3_Production_Scenarios'!D21/1.15)</f>
        <v>85.826086956521735</v>
      </c>
      <c r="E21" s="1">
        <f>'2_Price_Trajectories'!C21</f>
        <v>191.38</v>
      </c>
      <c r="F21" s="1">
        <f t="shared" si="0"/>
        <v>31.482009999999999</v>
      </c>
      <c r="G21" s="1">
        <f t="shared" si="1"/>
        <v>18.916581660869564</v>
      </c>
      <c r="H21" s="1">
        <f t="shared" si="2"/>
        <v>16.425396521739131</v>
      </c>
    </row>
    <row r="22" spans="1:8" x14ac:dyDescent="0.2">
      <c r="A22" s="1">
        <v>2045</v>
      </c>
      <c r="B22" s="1">
        <f>'1_Parameters'!$B$27*('3_Production_Scenarios'!B22/1.15)</f>
        <v>164.5</v>
      </c>
      <c r="C22" s="1">
        <f>'1_Parameters'!$B$27*('3_Production_Scenarios'!C22/1.15)</f>
        <v>98.843043478260867</v>
      </c>
      <c r="D22" s="1">
        <f>'1_Parameters'!$B$27*('3_Production_Scenarios'!D22/1.15)</f>
        <v>85.826086956521735</v>
      </c>
      <c r="E22" s="1">
        <f>'2_Price_Trajectories'!C22</f>
        <v>191.38</v>
      </c>
      <c r="F22" s="1">
        <f t="shared" si="0"/>
        <v>31.482009999999999</v>
      </c>
      <c r="G22" s="1">
        <f t="shared" si="1"/>
        <v>18.916581660869564</v>
      </c>
      <c r="H22" s="1">
        <f t="shared" si="2"/>
        <v>16.425396521739131</v>
      </c>
    </row>
    <row r="23" spans="1:8" x14ac:dyDescent="0.2">
      <c r="A23" s="1">
        <v>2046</v>
      </c>
      <c r="B23" s="1">
        <f>'1_Parameters'!$B$27*('3_Production_Scenarios'!B23/1.15)</f>
        <v>164.5</v>
      </c>
      <c r="C23" s="1">
        <f>'1_Parameters'!$B$27*('3_Production_Scenarios'!C23/1.15)</f>
        <v>98.843043478260867</v>
      </c>
      <c r="D23" s="1">
        <f>'1_Parameters'!$B$27*('3_Production_Scenarios'!D23/1.15)</f>
        <v>85.826086956521735</v>
      </c>
      <c r="E23" s="1">
        <f>'2_Price_Trajectories'!C23</f>
        <v>191.38</v>
      </c>
      <c r="F23" s="1">
        <f t="shared" si="0"/>
        <v>31.482009999999999</v>
      </c>
      <c r="G23" s="1">
        <f t="shared" si="1"/>
        <v>18.916581660869564</v>
      </c>
      <c r="H23" s="1">
        <f t="shared" si="2"/>
        <v>16.425396521739131</v>
      </c>
    </row>
    <row r="24" spans="1:8" x14ac:dyDescent="0.2">
      <c r="A24" s="1">
        <v>2047</v>
      </c>
      <c r="B24" s="1">
        <f>'1_Parameters'!$B$27*('3_Production_Scenarios'!B24/1.15)</f>
        <v>164.5</v>
      </c>
      <c r="C24" s="1">
        <f>'1_Parameters'!$B$27*('3_Production_Scenarios'!C24/1.15)</f>
        <v>98.843043478260867</v>
      </c>
      <c r="D24" s="1">
        <f>'1_Parameters'!$B$27*('3_Production_Scenarios'!D24/1.15)</f>
        <v>85.826086956521735</v>
      </c>
      <c r="E24" s="1">
        <f>'2_Price_Trajectories'!C24</f>
        <v>191.38</v>
      </c>
      <c r="F24" s="1">
        <f t="shared" si="0"/>
        <v>31.482009999999999</v>
      </c>
      <c r="G24" s="1">
        <f t="shared" si="1"/>
        <v>18.916581660869564</v>
      </c>
      <c r="H24" s="1">
        <f t="shared" si="2"/>
        <v>16.425396521739131</v>
      </c>
    </row>
    <row r="25" spans="1:8" x14ac:dyDescent="0.2">
      <c r="A25" s="1">
        <v>2048</v>
      </c>
      <c r="B25" s="1">
        <f>'1_Parameters'!$B$27*('3_Production_Scenarios'!B25/1.15)</f>
        <v>164.5</v>
      </c>
      <c r="C25" s="1">
        <f>'1_Parameters'!$B$27*('3_Production_Scenarios'!C25/1.15)</f>
        <v>98.843043478260867</v>
      </c>
      <c r="D25" s="1">
        <f>'1_Parameters'!$B$27*('3_Production_Scenarios'!D25/1.15)</f>
        <v>85.826086956521735</v>
      </c>
      <c r="E25" s="1">
        <f>'2_Price_Trajectories'!C25</f>
        <v>191.38</v>
      </c>
      <c r="F25" s="1">
        <f t="shared" si="0"/>
        <v>31.482009999999999</v>
      </c>
      <c r="G25" s="1">
        <f t="shared" si="1"/>
        <v>18.916581660869564</v>
      </c>
      <c r="H25" s="1">
        <f t="shared" si="2"/>
        <v>16.425396521739131</v>
      </c>
    </row>
    <row r="26" spans="1:8" x14ac:dyDescent="0.2">
      <c r="A26" s="1">
        <v>2049</v>
      </c>
      <c r="B26" s="1">
        <f>'1_Parameters'!$B$27*('3_Production_Scenarios'!B26/1.15)</f>
        <v>164.5</v>
      </c>
      <c r="C26" s="1">
        <f>'1_Parameters'!$B$27*('3_Production_Scenarios'!C26/1.15)</f>
        <v>98.843043478260867</v>
      </c>
      <c r="D26" s="1">
        <f>'1_Parameters'!$B$27*('3_Production_Scenarios'!D26/1.15)</f>
        <v>85.826086956521735</v>
      </c>
      <c r="E26" s="1">
        <f>'2_Price_Trajectories'!C26</f>
        <v>191.38</v>
      </c>
      <c r="F26" s="1">
        <f t="shared" si="0"/>
        <v>31.482009999999999</v>
      </c>
      <c r="G26" s="1">
        <f t="shared" si="1"/>
        <v>18.916581660869564</v>
      </c>
      <c r="H26" s="1">
        <f t="shared" si="2"/>
        <v>16.425396521739131</v>
      </c>
    </row>
    <row r="27" spans="1:8" x14ac:dyDescent="0.2">
      <c r="A27" s="1">
        <v>2050</v>
      </c>
      <c r="B27" s="1">
        <f>'1_Parameters'!$B$27*('3_Production_Scenarios'!B27/1.15)</f>
        <v>164.5</v>
      </c>
      <c r="C27" s="1">
        <f>'1_Parameters'!$B$27*('3_Production_Scenarios'!C27/1.15)</f>
        <v>98.843043478260867</v>
      </c>
      <c r="D27" s="1">
        <f>'1_Parameters'!$B$27*('3_Production_Scenarios'!D27/1.15)</f>
        <v>85.826086956521735</v>
      </c>
      <c r="E27" s="1">
        <f>'2_Price_Trajectories'!C27</f>
        <v>191.38</v>
      </c>
      <c r="F27" s="1">
        <f t="shared" si="0"/>
        <v>31.482009999999999</v>
      </c>
      <c r="G27" s="1">
        <f t="shared" si="1"/>
        <v>18.916581660869564</v>
      </c>
      <c r="H27" s="1">
        <f t="shared" si="2"/>
        <v>16.425396521739131</v>
      </c>
    </row>
    <row r="28" spans="1:8" x14ac:dyDescent="0.2">
      <c r="A28" s="5" t="s">
        <v>45</v>
      </c>
      <c r="F28" s="5">
        <f>SUM(F7:F27)</f>
        <v>643.86286999999982</v>
      </c>
      <c r="G28" s="5">
        <f>SUM(G7:G27)</f>
        <v>386.87760275652158</v>
      </c>
      <c r="H28" s="5">
        <f>SUM(H7:H27)</f>
        <v>377.09244756521724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9"/>
  <sheetViews>
    <sheetView workbookViewId="0"/>
  </sheetViews>
  <sheetFormatPr baseColWidth="10" defaultColWidth="8.83203125" defaultRowHeight="15" x14ac:dyDescent="0.2"/>
  <cols>
    <col min="1" max="5" width="22" customWidth="1"/>
  </cols>
  <sheetData>
    <row r="1" spans="1:5" x14ac:dyDescent="0.2">
      <c r="A1" s="1" t="s">
        <v>50</v>
      </c>
      <c r="B1" s="1"/>
      <c r="C1" s="1"/>
      <c r="D1" s="1"/>
      <c r="E1" s="1"/>
    </row>
    <row r="2" spans="1:5" x14ac:dyDescent="0.2">
      <c r="A2" s="1"/>
      <c r="B2" s="1"/>
      <c r="C2" s="1"/>
      <c r="D2" s="1"/>
      <c r="E2" s="1"/>
    </row>
    <row r="3" spans="1:5" x14ac:dyDescent="0.2">
      <c r="A3" s="2"/>
      <c r="B3" s="1"/>
      <c r="C3" s="1"/>
      <c r="D3" s="1"/>
      <c r="E3" s="1"/>
    </row>
    <row r="4" spans="1:5" x14ac:dyDescent="0.2">
      <c r="A4" s="4" t="s">
        <v>29</v>
      </c>
      <c r="B4" s="4" t="s">
        <v>51</v>
      </c>
      <c r="C4" s="4" t="s">
        <v>52</v>
      </c>
      <c r="D4" s="4" t="s">
        <v>53</v>
      </c>
      <c r="E4" s="4" t="s">
        <v>54</v>
      </c>
    </row>
    <row r="5" spans="1:5" x14ac:dyDescent="0.2">
      <c r="A5" s="1">
        <v>2030</v>
      </c>
      <c r="B5" s="1">
        <f>'1_Parameters'!B10</f>
        <v>1300</v>
      </c>
      <c r="C5" s="1">
        <f>'3_Production_Scenarios'!E7</f>
        <v>13756.3</v>
      </c>
      <c r="D5" s="1">
        <f>C5*B5/1000000</f>
        <v>17.883189999999999</v>
      </c>
      <c r="E5" s="1" t="s">
        <v>55</v>
      </c>
    </row>
    <row r="6" spans="1:5" x14ac:dyDescent="0.2">
      <c r="A6" s="1">
        <v>2040</v>
      </c>
      <c r="B6" s="1">
        <f>'1_Parameters'!B11</f>
        <v>935</v>
      </c>
      <c r="C6" s="1">
        <f>'3_Production_Scenarios'!E17</f>
        <v>13756.3</v>
      </c>
      <c r="D6" s="1">
        <f>C6*B6/1000000</f>
        <v>12.862140500000001</v>
      </c>
      <c r="E6" s="1" t="s">
        <v>56</v>
      </c>
    </row>
    <row r="7" spans="1:5" x14ac:dyDescent="0.2">
      <c r="A7" s="1">
        <v>2050</v>
      </c>
      <c r="B7" s="1">
        <f>'1_Parameters'!B12</f>
        <v>780</v>
      </c>
      <c r="C7" s="1">
        <f>'3_Production_Scenarios'!E27</f>
        <v>13756.3</v>
      </c>
      <c r="D7" s="1">
        <f>C7*B7/1000000</f>
        <v>10.729914000000001</v>
      </c>
      <c r="E7" s="1" t="s">
        <v>57</v>
      </c>
    </row>
    <row r="8" spans="1:5" x14ac:dyDescent="0.2">
      <c r="A8" s="1"/>
      <c r="B8" s="1"/>
      <c r="C8" s="1"/>
      <c r="D8" s="1"/>
      <c r="E8" s="1"/>
    </row>
    <row r="9" spans="1:5" x14ac:dyDescent="0.2">
      <c r="A9" s="2"/>
      <c r="B9" s="1"/>
      <c r="C9" s="1"/>
      <c r="D9" s="1"/>
      <c r="E9" s="1"/>
    </row>
    <row r="10" spans="1:5" x14ac:dyDescent="0.2">
      <c r="A10" s="4" t="s">
        <v>29</v>
      </c>
      <c r="B10" s="4" t="s">
        <v>51</v>
      </c>
      <c r="C10" s="4" t="s">
        <v>52</v>
      </c>
      <c r="D10" s="4" t="s">
        <v>53</v>
      </c>
      <c r="E10" s="4" t="s">
        <v>54</v>
      </c>
    </row>
    <row r="11" spans="1:5" x14ac:dyDescent="0.2">
      <c r="A11" s="1">
        <v>2030</v>
      </c>
      <c r="B11" s="1">
        <f>'1_Parameters'!B19</f>
        <v>1350</v>
      </c>
      <c r="C11" s="1">
        <f>'3_Production_Scenarios'!E7</f>
        <v>13756.3</v>
      </c>
      <c r="D11" s="1">
        <f>C11*B11/1000000</f>
        <v>18.571005</v>
      </c>
      <c r="E11" s="1" t="s">
        <v>55</v>
      </c>
    </row>
    <row r="12" spans="1:5" x14ac:dyDescent="0.2">
      <c r="A12" s="1">
        <v>2040</v>
      </c>
      <c r="B12" s="1">
        <f>'1_Parameters'!B20</f>
        <v>1050</v>
      </c>
      <c r="C12" s="1">
        <f>'3_Production_Scenarios'!E17</f>
        <v>13756.3</v>
      </c>
      <c r="D12" s="1">
        <f>C12*B12/1000000</f>
        <v>14.444115</v>
      </c>
      <c r="E12" s="1" t="s">
        <v>56</v>
      </c>
    </row>
    <row r="13" spans="1:5" x14ac:dyDescent="0.2">
      <c r="A13" s="1">
        <v>2050</v>
      </c>
      <c r="B13" s="1">
        <f>'1_Parameters'!B21</f>
        <v>900</v>
      </c>
      <c r="C13" s="1">
        <f>'3_Production_Scenarios'!E27</f>
        <v>13756.3</v>
      </c>
      <c r="D13" s="1">
        <f>C13*B13/1000000</f>
        <v>12.38067</v>
      </c>
      <c r="E13" s="1" t="s">
        <v>57</v>
      </c>
    </row>
    <row r="14" spans="1:5" x14ac:dyDescent="0.2">
      <c r="A14" s="1"/>
      <c r="B14" s="1"/>
      <c r="C14" s="1"/>
      <c r="D14" s="1"/>
      <c r="E14" s="1"/>
    </row>
    <row r="15" spans="1:5" x14ac:dyDescent="0.2">
      <c r="A15" s="2"/>
      <c r="B15" s="1"/>
      <c r="C15" s="1"/>
      <c r="D15" s="1"/>
      <c r="E15" s="1"/>
    </row>
    <row r="16" spans="1:5" x14ac:dyDescent="0.2">
      <c r="A16" s="4" t="s">
        <v>58</v>
      </c>
      <c r="B16" s="4" t="s">
        <v>59</v>
      </c>
      <c r="C16" s="4" t="s">
        <v>60</v>
      </c>
      <c r="D16" s="4" t="s">
        <v>61</v>
      </c>
      <c r="E16" s="4" t="s">
        <v>62</v>
      </c>
    </row>
    <row r="17" spans="1:5" x14ac:dyDescent="0.2">
      <c r="A17" s="1" t="s">
        <v>63</v>
      </c>
      <c r="B17" s="1">
        <f>'4_H2_Demand_Cost'!F28</f>
        <v>677.44578999999999</v>
      </c>
      <c r="C17" s="1">
        <f>'5_Elec_Demand_Cost'!F28</f>
        <v>643.86286999999982</v>
      </c>
      <c r="D17" s="1" t="str">
        <f>IF(B17&lt;C17,"NCC-H2","NCC-Elec")</f>
        <v>NCC-Elec</v>
      </c>
      <c r="E17" s="1">
        <f>ABS(B17-C17)</f>
        <v>33.582920000000172</v>
      </c>
    </row>
    <row r="18" spans="1:5" x14ac:dyDescent="0.2">
      <c r="A18" s="1" t="s">
        <v>64</v>
      </c>
      <c r="B18" s="1">
        <f>'4_H2_Demand_Cost'!G28</f>
        <v>407.05655729565206</v>
      </c>
      <c r="C18" s="1">
        <f>'5_Elec_Demand_Cost'!G28</f>
        <v>386.87760275652158</v>
      </c>
      <c r="D18" s="1" t="str">
        <f>IF(B18&lt;C18,"NCC-H2","NCC-Elec")</f>
        <v>NCC-Elec</v>
      </c>
      <c r="E18" s="1">
        <f>ABS(B18-C18)</f>
        <v>20.178954539130473</v>
      </c>
    </row>
    <row r="19" spans="1:5" x14ac:dyDescent="0.2">
      <c r="A19" s="1" t="s">
        <v>65</v>
      </c>
      <c r="B19" s="1">
        <f>'4_H2_Demand_Cost'!H28</f>
        <v>411.65862819565211</v>
      </c>
      <c r="C19" s="1">
        <f>'5_Elec_Demand_Cost'!H28</f>
        <v>377.09244756521724</v>
      </c>
      <c r="D19" s="1" t="str">
        <f>IF(B19&lt;C19,"NCC-H2","NCC-Elec")</f>
        <v>NCC-Elec</v>
      </c>
      <c r="E19" s="1">
        <f>ABS(B19-C19)</f>
        <v>34.566180630434872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8"/>
  <sheetViews>
    <sheetView workbookViewId="0"/>
  </sheetViews>
  <sheetFormatPr baseColWidth="10" defaultColWidth="8.83203125" defaultRowHeight="15" x14ac:dyDescent="0.2"/>
  <cols>
    <col min="1" max="6" width="16" customWidth="1"/>
  </cols>
  <sheetData>
    <row r="1" spans="1:6" x14ac:dyDescent="0.2">
      <c r="A1" s="4" t="s">
        <v>29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</row>
    <row r="2" spans="1:6" x14ac:dyDescent="0.2">
      <c r="A2" s="5" t="s">
        <v>71</v>
      </c>
      <c r="B2" t="s">
        <v>72</v>
      </c>
      <c r="C2" t="s">
        <v>73</v>
      </c>
      <c r="D2" t="s">
        <v>74</v>
      </c>
      <c r="E2" t="s">
        <v>75</v>
      </c>
    </row>
    <row r="3" spans="1:6" x14ac:dyDescent="0.2">
      <c r="A3" s="1">
        <v>2025</v>
      </c>
      <c r="B3" s="1">
        <f>'4_H2_Demand_Cost'!B2*0.3992</f>
        <v>2674.1193043478265</v>
      </c>
      <c r="C3" s="1">
        <f>'4_H2_Demand_Cost'!B2*0.4552</f>
        <v>3049.2462608695655</v>
      </c>
      <c r="D3" s="1">
        <f>'4_H2_Demand_Cost'!B2*0.0552</f>
        <v>369.76800000000003</v>
      </c>
      <c r="E3" s="1">
        <f>'4_H2_Demand_Cost'!B2*0.0905</f>
        <v>606.23195652173922</v>
      </c>
      <c r="F3" s="1">
        <f t="shared" ref="F3:F28" si="0">SUM(B3:E3)</f>
        <v>6699.3655217391315</v>
      </c>
    </row>
    <row r="4" spans="1:6" x14ac:dyDescent="0.2">
      <c r="A4" s="1">
        <v>2026</v>
      </c>
      <c r="B4" s="1">
        <f>'4_H2_Demand_Cost'!B3*0.3992</f>
        <v>3075.2372</v>
      </c>
      <c r="C4" s="1">
        <f>'4_H2_Demand_Cost'!B3*0.4552</f>
        <v>3506.6331999999998</v>
      </c>
      <c r="D4" s="1">
        <f>'4_H2_Demand_Cost'!B3*0.0552</f>
        <v>425.23320000000001</v>
      </c>
      <c r="E4" s="1">
        <f>'4_H2_Demand_Cost'!B3*0.0905</f>
        <v>697.16674999999998</v>
      </c>
      <c r="F4" s="1">
        <f t="shared" si="0"/>
        <v>7704.2703499999998</v>
      </c>
    </row>
    <row r="5" spans="1:6" x14ac:dyDescent="0.2">
      <c r="A5" s="1">
        <v>2027</v>
      </c>
      <c r="B5" s="1">
        <f>'4_H2_Demand_Cost'!B4*0.3992</f>
        <v>3075.2372</v>
      </c>
      <c r="C5" s="1">
        <f>'4_H2_Demand_Cost'!B4*0.4552</f>
        <v>3506.6331999999998</v>
      </c>
      <c r="D5" s="1">
        <f>'4_H2_Demand_Cost'!B4*0.0552</f>
        <v>425.23320000000001</v>
      </c>
      <c r="E5" s="1">
        <f>'4_H2_Demand_Cost'!B4*0.0905</f>
        <v>697.16674999999998</v>
      </c>
      <c r="F5" s="1">
        <f t="shared" si="0"/>
        <v>7704.2703499999998</v>
      </c>
    </row>
    <row r="6" spans="1:6" x14ac:dyDescent="0.2">
      <c r="A6" s="1">
        <v>2028</v>
      </c>
      <c r="B6" s="1">
        <f>'4_H2_Demand_Cost'!B5*0.3992</f>
        <v>3075.2372</v>
      </c>
      <c r="C6" s="1">
        <f>'4_H2_Demand_Cost'!B5*0.4552</f>
        <v>3506.6331999999998</v>
      </c>
      <c r="D6" s="1">
        <f>'4_H2_Demand_Cost'!B5*0.0552</f>
        <v>425.23320000000001</v>
      </c>
      <c r="E6" s="1">
        <f>'4_H2_Demand_Cost'!B5*0.0905</f>
        <v>697.16674999999998</v>
      </c>
      <c r="F6" s="1">
        <f t="shared" si="0"/>
        <v>7704.2703499999998</v>
      </c>
    </row>
    <row r="7" spans="1:6" x14ac:dyDescent="0.2">
      <c r="A7" s="1">
        <v>2029</v>
      </c>
      <c r="B7" s="1">
        <f>'4_H2_Demand_Cost'!B6*0.3992</f>
        <v>3075.2372</v>
      </c>
      <c r="C7" s="1">
        <f>'4_H2_Demand_Cost'!B6*0.4552</f>
        <v>3506.6331999999998</v>
      </c>
      <c r="D7" s="1">
        <f>'4_H2_Demand_Cost'!B6*0.0552</f>
        <v>425.23320000000001</v>
      </c>
      <c r="E7" s="1">
        <f>'4_H2_Demand_Cost'!B6*0.0905</f>
        <v>697.16674999999998</v>
      </c>
      <c r="F7" s="1">
        <f t="shared" si="0"/>
        <v>7704.2703499999998</v>
      </c>
    </row>
    <row r="8" spans="1:6" x14ac:dyDescent="0.2">
      <c r="A8" s="1">
        <v>2030</v>
      </c>
      <c r="B8" s="1">
        <f>'4_H2_Demand_Cost'!B7*0.3992</f>
        <v>3075.2372</v>
      </c>
      <c r="C8" s="1">
        <f>'4_H2_Demand_Cost'!B7*0.4552</f>
        <v>3506.6331999999998</v>
      </c>
      <c r="D8" s="1">
        <f>'4_H2_Demand_Cost'!B7*0.0552</f>
        <v>425.23320000000001</v>
      </c>
      <c r="E8" s="1">
        <f>'4_H2_Demand_Cost'!B7*0.0905</f>
        <v>697.16674999999998</v>
      </c>
      <c r="F8" s="1">
        <f t="shared" si="0"/>
        <v>7704.2703499999998</v>
      </c>
    </row>
    <row r="9" spans="1:6" x14ac:dyDescent="0.2">
      <c r="A9" s="1">
        <v>2031</v>
      </c>
      <c r="B9" s="1">
        <f>'4_H2_Demand_Cost'!B8*0.3992</f>
        <v>3075.2372</v>
      </c>
      <c r="C9" s="1">
        <f>'4_H2_Demand_Cost'!B8*0.4552</f>
        <v>3506.6331999999998</v>
      </c>
      <c r="D9" s="1">
        <f>'4_H2_Demand_Cost'!B8*0.0552</f>
        <v>425.23320000000001</v>
      </c>
      <c r="E9" s="1">
        <f>'4_H2_Demand_Cost'!B8*0.0905</f>
        <v>697.16674999999998</v>
      </c>
      <c r="F9" s="1">
        <f t="shared" si="0"/>
        <v>7704.2703499999998</v>
      </c>
    </row>
    <row r="10" spans="1:6" x14ac:dyDescent="0.2">
      <c r="A10" s="1">
        <v>2032</v>
      </c>
      <c r="B10" s="1">
        <f>'4_H2_Demand_Cost'!B9*0.3992</f>
        <v>3075.2372</v>
      </c>
      <c r="C10" s="1">
        <f>'4_H2_Demand_Cost'!B9*0.4552</f>
        <v>3506.6331999999998</v>
      </c>
      <c r="D10" s="1">
        <f>'4_H2_Demand_Cost'!B9*0.0552</f>
        <v>425.23320000000001</v>
      </c>
      <c r="E10" s="1">
        <f>'4_H2_Demand_Cost'!B9*0.0905</f>
        <v>697.16674999999998</v>
      </c>
      <c r="F10" s="1">
        <f t="shared" si="0"/>
        <v>7704.2703499999998</v>
      </c>
    </row>
    <row r="11" spans="1:6" x14ac:dyDescent="0.2">
      <c r="A11" s="1">
        <v>2033</v>
      </c>
      <c r="B11" s="1">
        <f>'4_H2_Demand_Cost'!B10*0.3992</f>
        <v>3075.2372</v>
      </c>
      <c r="C11" s="1">
        <f>'4_H2_Demand_Cost'!B10*0.4552</f>
        <v>3506.6331999999998</v>
      </c>
      <c r="D11" s="1">
        <f>'4_H2_Demand_Cost'!B10*0.0552</f>
        <v>425.23320000000001</v>
      </c>
      <c r="E11" s="1">
        <f>'4_H2_Demand_Cost'!B10*0.0905</f>
        <v>697.16674999999998</v>
      </c>
      <c r="F11" s="1">
        <f t="shared" si="0"/>
        <v>7704.2703499999998</v>
      </c>
    </row>
    <row r="12" spans="1:6" x14ac:dyDescent="0.2">
      <c r="A12" s="1">
        <v>2034</v>
      </c>
      <c r="B12" s="1">
        <f>'4_H2_Demand_Cost'!B11*0.3992</f>
        <v>3075.2372</v>
      </c>
      <c r="C12" s="1">
        <f>'4_H2_Demand_Cost'!B11*0.4552</f>
        <v>3506.6331999999998</v>
      </c>
      <c r="D12" s="1">
        <f>'4_H2_Demand_Cost'!B11*0.0552</f>
        <v>425.23320000000001</v>
      </c>
      <c r="E12" s="1">
        <f>'4_H2_Demand_Cost'!B11*0.0905</f>
        <v>697.16674999999998</v>
      </c>
      <c r="F12" s="1">
        <f t="shared" si="0"/>
        <v>7704.2703499999998</v>
      </c>
    </row>
    <row r="13" spans="1:6" x14ac:dyDescent="0.2">
      <c r="A13" s="1">
        <v>2035</v>
      </c>
      <c r="B13" s="1">
        <f>'4_H2_Demand_Cost'!B12*0.3992</f>
        <v>3075.2372</v>
      </c>
      <c r="C13" s="1">
        <f>'4_H2_Demand_Cost'!B12*0.4552</f>
        <v>3506.6331999999998</v>
      </c>
      <c r="D13" s="1">
        <f>'4_H2_Demand_Cost'!B12*0.0552</f>
        <v>425.23320000000001</v>
      </c>
      <c r="E13" s="1">
        <f>'4_H2_Demand_Cost'!B12*0.0905</f>
        <v>697.16674999999998</v>
      </c>
      <c r="F13" s="1">
        <f t="shared" si="0"/>
        <v>7704.2703499999998</v>
      </c>
    </row>
    <row r="14" spans="1:6" x14ac:dyDescent="0.2">
      <c r="A14" s="1">
        <v>2036</v>
      </c>
      <c r="B14" s="1">
        <f>'4_H2_Demand_Cost'!B13*0.3992</f>
        <v>3075.2372</v>
      </c>
      <c r="C14" s="1">
        <f>'4_H2_Demand_Cost'!B13*0.4552</f>
        <v>3506.6331999999998</v>
      </c>
      <c r="D14" s="1">
        <f>'4_H2_Demand_Cost'!B13*0.0552</f>
        <v>425.23320000000001</v>
      </c>
      <c r="E14" s="1">
        <f>'4_H2_Demand_Cost'!B13*0.0905</f>
        <v>697.16674999999998</v>
      </c>
      <c r="F14" s="1">
        <f t="shared" si="0"/>
        <v>7704.2703499999998</v>
      </c>
    </row>
    <row r="15" spans="1:6" x14ac:dyDescent="0.2">
      <c r="A15" s="1">
        <v>2037</v>
      </c>
      <c r="B15" s="1">
        <f>'4_H2_Demand_Cost'!B14*0.3992</f>
        <v>3075.2372</v>
      </c>
      <c r="C15" s="1">
        <f>'4_H2_Demand_Cost'!B14*0.4552</f>
        <v>3506.6331999999998</v>
      </c>
      <c r="D15" s="1">
        <f>'4_H2_Demand_Cost'!B14*0.0552</f>
        <v>425.23320000000001</v>
      </c>
      <c r="E15" s="1">
        <f>'4_H2_Demand_Cost'!B14*0.0905</f>
        <v>697.16674999999998</v>
      </c>
      <c r="F15" s="1">
        <f t="shared" si="0"/>
        <v>7704.2703499999998</v>
      </c>
    </row>
    <row r="16" spans="1:6" x14ac:dyDescent="0.2">
      <c r="A16" s="1">
        <v>2038</v>
      </c>
      <c r="B16" s="1">
        <f>'4_H2_Demand_Cost'!B15*0.3992</f>
        <v>3075.2372</v>
      </c>
      <c r="C16" s="1">
        <f>'4_H2_Demand_Cost'!B15*0.4552</f>
        <v>3506.6331999999998</v>
      </c>
      <c r="D16" s="1">
        <f>'4_H2_Demand_Cost'!B15*0.0552</f>
        <v>425.23320000000001</v>
      </c>
      <c r="E16" s="1">
        <f>'4_H2_Demand_Cost'!B15*0.0905</f>
        <v>697.16674999999998</v>
      </c>
      <c r="F16" s="1">
        <f t="shared" si="0"/>
        <v>7704.2703499999998</v>
      </c>
    </row>
    <row r="17" spans="1:6" x14ac:dyDescent="0.2">
      <c r="A17" s="1">
        <v>2039</v>
      </c>
      <c r="B17" s="1">
        <f>'4_H2_Demand_Cost'!B16*0.3992</f>
        <v>3075.2372</v>
      </c>
      <c r="C17" s="1">
        <f>'4_H2_Demand_Cost'!B16*0.4552</f>
        <v>3506.6331999999998</v>
      </c>
      <c r="D17" s="1">
        <f>'4_H2_Demand_Cost'!B16*0.0552</f>
        <v>425.23320000000001</v>
      </c>
      <c r="E17" s="1">
        <f>'4_H2_Demand_Cost'!B16*0.0905</f>
        <v>697.16674999999998</v>
      </c>
      <c r="F17" s="1">
        <f t="shared" si="0"/>
        <v>7704.2703499999998</v>
      </c>
    </row>
    <row r="18" spans="1:6" x14ac:dyDescent="0.2">
      <c r="A18" s="1">
        <v>2040</v>
      </c>
      <c r="B18" s="1">
        <f>'4_H2_Demand_Cost'!B17*0.3992</f>
        <v>3075.2372</v>
      </c>
      <c r="C18" s="1">
        <f>'4_H2_Demand_Cost'!B17*0.4552</f>
        <v>3506.6331999999998</v>
      </c>
      <c r="D18" s="1">
        <f>'4_H2_Demand_Cost'!B17*0.0552</f>
        <v>425.23320000000001</v>
      </c>
      <c r="E18" s="1">
        <f>'4_H2_Demand_Cost'!B17*0.0905</f>
        <v>697.16674999999998</v>
      </c>
      <c r="F18" s="1">
        <f t="shared" si="0"/>
        <v>7704.2703499999998</v>
      </c>
    </row>
    <row r="19" spans="1:6" x14ac:dyDescent="0.2">
      <c r="A19" s="1">
        <v>2041</v>
      </c>
      <c r="B19" s="1">
        <f>'4_H2_Demand_Cost'!B18*0.3992</f>
        <v>3075.2372</v>
      </c>
      <c r="C19" s="1">
        <f>'4_H2_Demand_Cost'!B18*0.4552</f>
        <v>3506.6331999999998</v>
      </c>
      <c r="D19" s="1">
        <f>'4_H2_Demand_Cost'!B18*0.0552</f>
        <v>425.23320000000001</v>
      </c>
      <c r="E19" s="1">
        <f>'4_H2_Demand_Cost'!B18*0.0905</f>
        <v>697.16674999999998</v>
      </c>
      <c r="F19" s="1">
        <f t="shared" si="0"/>
        <v>7704.2703499999998</v>
      </c>
    </row>
    <row r="20" spans="1:6" x14ac:dyDescent="0.2">
      <c r="A20" s="1">
        <v>2042</v>
      </c>
      <c r="B20" s="1">
        <f>'4_H2_Demand_Cost'!B19*0.3992</f>
        <v>3075.2372</v>
      </c>
      <c r="C20" s="1">
        <f>'4_H2_Demand_Cost'!B19*0.4552</f>
        <v>3506.6331999999998</v>
      </c>
      <c r="D20" s="1">
        <f>'4_H2_Demand_Cost'!B19*0.0552</f>
        <v>425.23320000000001</v>
      </c>
      <c r="E20" s="1">
        <f>'4_H2_Demand_Cost'!B19*0.0905</f>
        <v>697.16674999999998</v>
      </c>
      <c r="F20" s="1">
        <f t="shared" si="0"/>
        <v>7704.2703499999998</v>
      </c>
    </row>
    <row r="21" spans="1:6" x14ac:dyDescent="0.2">
      <c r="A21" s="1">
        <v>2043</v>
      </c>
      <c r="B21" s="1">
        <f>'4_H2_Demand_Cost'!B20*0.3992</f>
        <v>3075.2372</v>
      </c>
      <c r="C21" s="1">
        <f>'4_H2_Demand_Cost'!B20*0.4552</f>
        <v>3506.6331999999998</v>
      </c>
      <c r="D21" s="1">
        <f>'4_H2_Demand_Cost'!B20*0.0552</f>
        <v>425.23320000000001</v>
      </c>
      <c r="E21" s="1">
        <f>'4_H2_Demand_Cost'!B20*0.0905</f>
        <v>697.16674999999998</v>
      </c>
      <c r="F21" s="1">
        <f t="shared" si="0"/>
        <v>7704.2703499999998</v>
      </c>
    </row>
    <row r="22" spans="1:6" x14ac:dyDescent="0.2">
      <c r="A22" s="1">
        <v>2044</v>
      </c>
      <c r="B22" s="1">
        <f>'4_H2_Demand_Cost'!B21*0.3992</f>
        <v>3075.2372</v>
      </c>
      <c r="C22" s="1">
        <f>'4_H2_Demand_Cost'!B21*0.4552</f>
        <v>3506.6331999999998</v>
      </c>
      <c r="D22" s="1">
        <f>'4_H2_Demand_Cost'!B21*0.0552</f>
        <v>425.23320000000001</v>
      </c>
      <c r="E22" s="1">
        <f>'4_H2_Demand_Cost'!B21*0.0905</f>
        <v>697.16674999999998</v>
      </c>
      <c r="F22" s="1">
        <f t="shared" si="0"/>
        <v>7704.2703499999998</v>
      </c>
    </row>
    <row r="23" spans="1:6" x14ac:dyDescent="0.2">
      <c r="A23" s="1">
        <v>2045</v>
      </c>
      <c r="B23" s="1">
        <f>'4_H2_Demand_Cost'!B22*0.3992</f>
        <v>3075.2372</v>
      </c>
      <c r="C23" s="1">
        <f>'4_H2_Demand_Cost'!B22*0.4552</f>
        <v>3506.6331999999998</v>
      </c>
      <c r="D23" s="1">
        <f>'4_H2_Demand_Cost'!B22*0.0552</f>
        <v>425.23320000000001</v>
      </c>
      <c r="E23" s="1">
        <f>'4_H2_Demand_Cost'!B22*0.0905</f>
        <v>697.16674999999998</v>
      </c>
      <c r="F23" s="1">
        <f t="shared" si="0"/>
        <v>7704.2703499999998</v>
      </c>
    </row>
    <row r="24" spans="1:6" x14ac:dyDescent="0.2">
      <c r="A24" s="1">
        <v>2046</v>
      </c>
      <c r="B24" s="1">
        <f>'4_H2_Demand_Cost'!B23*0.3992</f>
        <v>3075.2372</v>
      </c>
      <c r="C24" s="1">
        <f>'4_H2_Demand_Cost'!B23*0.4552</f>
        <v>3506.6331999999998</v>
      </c>
      <c r="D24" s="1">
        <f>'4_H2_Demand_Cost'!B23*0.0552</f>
        <v>425.23320000000001</v>
      </c>
      <c r="E24" s="1">
        <f>'4_H2_Demand_Cost'!B23*0.0905</f>
        <v>697.16674999999998</v>
      </c>
      <c r="F24" s="1">
        <f t="shared" si="0"/>
        <v>7704.2703499999998</v>
      </c>
    </row>
    <row r="25" spans="1:6" x14ac:dyDescent="0.2">
      <c r="A25" s="1">
        <v>2047</v>
      </c>
      <c r="B25" s="1">
        <f>'4_H2_Demand_Cost'!B24*0.3992</f>
        <v>3075.2372</v>
      </c>
      <c r="C25" s="1">
        <f>'4_H2_Demand_Cost'!B24*0.4552</f>
        <v>3506.6331999999998</v>
      </c>
      <c r="D25" s="1">
        <f>'4_H2_Demand_Cost'!B24*0.0552</f>
        <v>425.23320000000001</v>
      </c>
      <c r="E25" s="1">
        <f>'4_H2_Demand_Cost'!B24*0.0905</f>
        <v>697.16674999999998</v>
      </c>
      <c r="F25" s="1">
        <f t="shared" si="0"/>
        <v>7704.2703499999998</v>
      </c>
    </row>
    <row r="26" spans="1:6" x14ac:dyDescent="0.2">
      <c r="A26" s="1">
        <v>2048</v>
      </c>
      <c r="B26" s="1">
        <f>'4_H2_Demand_Cost'!B25*0.3992</f>
        <v>3075.2372</v>
      </c>
      <c r="C26" s="1">
        <f>'4_H2_Demand_Cost'!B25*0.4552</f>
        <v>3506.6331999999998</v>
      </c>
      <c r="D26" s="1">
        <f>'4_H2_Demand_Cost'!B25*0.0552</f>
        <v>425.23320000000001</v>
      </c>
      <c r="E26" s="1">
        <f>'4_H2_Demand_Cost'!B25*0.0905</f>
        <v>697.16674999999998</v>
      </c>
      <c r="F26" s="1">
        <f t="shared" si="0"/>
        <v>7704.2703499999998</v>
      </c>
    </row>
    <row r="27" spans="1:6" x14ac:dyDescent="0.2">
      <c r="A27" s="1">
        <v>2049</v>
      </c>
      <c r="B27" s="1">
        <f>'4_H2_Demand_Cost'!B26*0.3992</f>
        <v>3075.2372</v>
      </c>
      <c r="C27" s="1">
        <f>'4_H2_Demand_Cost'!B26*0.4552</f>
        <v>3506.6331999999998</v>
      </c>
      <c r="D27" s="1">
        <f>'4_H2_Demand_Cost'!B26*0.0552</f>
        <v>425.23320000000001</v>
      </c>
      <c r="E27" s="1">
        <f>'4_H2_Demand_Cost'!B26*0.0905</f>
        <v>697.16674999999998</v>
      </c>
      <c r="F27" s="1">
        <f t="shared" si="0"/>
        <v>7704.2703499999998</v>
      </c>
    </row>
    <row r="28" spans="1:6" x14ac:dyDescent="0.2">
      <c r="A28" s="1">
        <v>2050</v>
      </c>
      <c r="B28" s="1">
        <f>'4_H2_Demand_Cost'!B27*0.3992</f>
        <v>3075.2372</v>
      </c>
      <c r="C28" s="1">
        <f>'4_H2_Demand_Cost'!B27*0.4552</f>
        <v>3506.6331999999998</v>
      </c>
      <c r="D28" s="1">
        <f>'4_H2_Demand_Cost'!B27*0.0552</f>
        <v>425.23320000000001</v>
      </c>
      <c r="E28" s="1">
        <f>'4_H2_Demand_Cost'!B27*0.0905</f>
        <v>697.16674999999998</v>
      </c>
      <c r="F28" s="1">
        <f t="shared" si="0"/>
        <v>7704.2703499999998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"/>
  <sheetViews>
    <sheetView workbookViewId="0"/>
  </sheetViews>
  <sheetFormatPr baseColWidth="10" defaultColWidth="8.83203125" defaultRowHeight="15" x14ac:dyDescent="0.2"/>
  <cols>
    <col min="1" max="6" width="18" customWidth="1"/>
  </cols>
  <sheetData>
    <row r="1" spans="1:6" x14ac:dyDescent="0.2">
      <c r="A1" s="4" t="s">
        <v>29</v>
      </c>
      <c r="B1" s="4" t="s">
        <v>76</v>
      </c>
      <c r="C1" s="4" t="s">
        <v>77</v>
      </c>
      <c r="D1" s="4" t="s">
        <v>78</v>
      </c>
      <c r="E1" s="4" t="s">
        <v>79</v>
      </c>
      <c r="F1" s="4" t="s">
        <v>80</v>
      </c>
    </row>
    <row r="2" spans="1:6" x14ac:dyDescent="0.2">
      <c r="A2" s="5" t="s">
        <v>71</v>
      </c>
      <c r="B2" t="s">
        <v>81</v>
      </c>
      <c r="C2" t="s">
        <v>82</v>
      </c>
      <c r="D2" t="s">
        <v>83</v>
      </c>
      <c r="E2" t="s">
        <v>84</v>
      </c>
    </row>
    <row r="3" spans="1:6" x14ac:dyDescent="0.2">
      <c r="A3" s="1">
        <v>2025</v>
      </c>
      <c r="B3" s="1">
        <f>'5_Elec_Demand_Cost'!B2*0.358</f>
        <v>51.209565217391308</v>
      </c>
      <c r="C3" s="1">
        <f>'5_Elec_Demand_Cost'!B2*0.378</f>
        <v>54.070434782608707</v>
      </c>
      <c r="D3" s="1">
        <f>'5_Elec_Demand_Cost'!B2*0.093</f>
        <v>13.303043478260872</v>
      </c>
      <c r="E3" s="1">
        <f>'5_Elec_Demand_Cost'!B2*0.172</f>
        <v>24.603478260869569</v>
      </c>
      <c r="F3" s="1">
        <f t="shared" ref="F3:F28" si="0">SUM(B3:E3)</f>
        <v>143.18652173913046</v>
      </c>
    </row>
    <row r="4" spans="1:6" x14ac:dyDescent="0.2">
      <c r="A4" s="1">
        <v>2026</v>
      </c>
      <c r="B4" s="1">
        <f>'5_Elec_Demand_Cost'!B3*0.358</f>
        <v>58.890999999999998</v>
      </c>
      <c r="C4" s="1">
        <f>'5_Elec_Demand_Cost'!B3*0.378</f>
        <v>62.180999999999997</v>
      </c>
      <c r="D4" s="1">
        <f>'5_Elec_Demand_Cost'!B3*0.093</f>
        <v>15.298500000000001</v>
      </c>
      <c r="E4" s="1">
        <f>'5_Elec_Demand_Cost'!B3*0.172</f>
        <v>28.293999999999997</v>
      </c>
      <c r="F4" s="1">
        <f t="shared" si="0"/>
        <v>164.66449999999998</v>
      </c>
    </row>
    <row r="5" spans="1:6" x14ac:dyDescent="0.2">
      <c r="A5" s="1">
        <v>2027</v>
      </c>
      <c r="B5" s="1">
        <f>'5_Elec_Demand_Cost'!B4*0.358</f>
        <v>58.890999999999998</v>
      </c>
      <c r="C5" s="1">
        <f>'5_Elec_Demand_Cost'!B4*0.378</f>
        <v>62.180999999999997</v>
      </c>
      <c r="D5" s="1">
        <f>'5_Elec_Demand_Cost'!B4*0.093</f>
        <v>15.298500000000001</v>
      </c>
      <c r="E5" s="1">
        <f>'5_Elec_Demand_Cost'!B4*0.172</f>
        <v>28.293999999999997</v>
      </c>
      <c r="F5" s="1">
        <f t="shared" si="0"/>
        <v>164.66449999999998</v>
      </c>
    </row>
    <row r="6" spans="1:6" x14ac:dyDescent="0.2">
      <c r="A6" s="1">
        <v>2028</v>
      </c>
      <c r="B6" s="1">
        <f>'5_Elec_Demand_Cost'!B5*0.358</f>
        <v>58.890999999999998</v>
      </c>
      <c r="C6" s="1">
        <f>'5_Elec_Demand_Cost'!B5*0.378</f>
        <v>62.180999999999997</v>
      </c>
      <c r="D6" s="1">
        <f>'5_Elec_Demand_Cost'!B5*0.093</f>
        <v>15.298500000000001</v>
      </c>
      <c r="E6" s="1">
        <f>'5_Elec_Demand_Cost'!B5*0.172</f>
        <v>28.293999999999997</v>
      </c>
      <c r="F6" s="1">
        <f t="shared" si="0"/>
        <v>164.66449999999998</v>
      </c>
    </row>
    <row r="7" spans="1:6" x14ac:dyDescent="0.2">
      <c r="A7" s="1">
        <v>2029</v>
      </c>
      <c r="B7" s="1">
        <f>'5_Elec_Demand_Cost'!B6*0.358</f>
        <v>58.890999999999998</v>
      </c>
      <c r="C7" s="1">
        <f>'5_Elec_Demand_Cost'!B6*0.378</f>
        <v>62.180999999999997</v>
      </c>
      <c r="D7" s="1">
        <f>'5_Elec_Demand_Cost'!B6*0.093</f>
        <v>15.298500000000001</v>
      </c>
      <c r="E7" s="1">
        <f>'5_Elec_Demand_Cost'!B6*0.172</f>
        <v>28.293999999999997</v>
      </c>
      <c r="F7" s="1">
        <f t="shared" si="0"/>
        <v>164.66449999999998</v>
      </c>
    </row>
    <row r="8" spans="1:6" x14ac:dyDescent="0.2">
      <c r="A8" s="1">
        <v>2030</v>
      </c>
      <c r="B8" s="1">
        <f>'5_Elec_Demand_Cost'!B7*0.358</f>
        <v>58.890999999999998</v>
      </c>
      <c r="C8" s="1">
        <f>'5_Elec_Demand_Cost'!B7*0.378</f>
        <v>62.180999999999997</v>
      </c>
      <c r="D8" s="1">
        <f>'5_Elec_Demand_Cost'!B7*0.093</f>
        <v>15.298500000000001</v>
      </c>
      <c r="E8" s="1">
        <f>'5_Elec_Demand_Cost'!B7*0.172</f>
        <v>28.293999999999997</v>
      </c>
      <c r="F8" s="1">
        <f t="shared" si="0"/>
        <v>164.66449999999998</v>
      </c>
    </row>
    <row r="9" spans="1:6" x14ac:dyDescent="0.2">
      <c r="A9" s="1">
        <v>2031</v>
      </c>
      <c r="B9" s="1">
        <f>'5_Elec_Demand_Cost'!B8*0.358</f>
        <v>58.890999999999998</v>
      </c>
      <c r="C9" s="1">
        <f>'5_Elec_Demand_Cost'!B8*0.378</f>
        <v>62.180999999999997</v>
      </c>
      <c r="D9" s="1">
        <f>'5_Elec_Demand_Cost'!B8*0.093</f>
        <v>15.298500000000001</v>
      </c>
      <c r="E9" s="1">
        <f>'5_Elec_Demand_Cost'!B8*0.172</f>
        <v>28.293999999999997</v>
      </c>
      <c r="F9" s="1">
        <f t="shared" si="0"/>
        <v>164.66449999999998</v>
      </c>
    </row>
    <row r="10" spans="1:6" x14ac:dyDescent="0.2">
      <c r="A10" s="1">
        <v>2032</v>
      </c>
      <c r="B10" s="1">
        <f>'5_Elec_Demand_Cost'!B9*0.358</f>
        <v>58.890999999999998</v>
      </c>
      <c r="C10" s="1">
        <f>'5_Elec_Demand_Cost'!B9*0.378</f>
        <v>62.180999999999997</v>
      </c>
      <c r="D10" s="1">
        <f>'5_Elec_Demand_Cost'!B9*0.093</f>
        <v>15.298500000000001</v>
      </c>
      <c r="E10" s="1">
        <f>'5_Elec_Demand_Cost'!B9*0.172</f>
        <v>28.293999999999997</v>
      </c>
      <c r="F10" s="1">
        <f t="shared" si="0"/>
        <v>164.66449999999998</v>
      </c>
    </row>
    <row r="11" spans="1:6" x14ac:dyDescent="0.2">
      <c r="A11" s="1">
        <v>2033</v>
      </c>
      <c r="B11" s="1">
        <f>'5_Elec_Demand_Cost'!B10*0.358</f>
        <v>58.890999999999998</v>
      </c>
      <c r="C11" s="1">
        <f>'5_Elec_Demand_Cost'!B10*0.378</f>
        <v>62.180999999999997</v>
      </c>
      <c r="D11" s="1">
        <f>'5_Elec_Demand_Cost'!B10*0.093</f>
        <v>15.298500000000001</v>
      </c>
      <c r="E11" s="1">
        <f>'5_Elec_Demand_Cost'!B10*0.172</f>
        <v>28.293999999999997</v>
      </c>
      <c r="F11" s="1">
        <f t="shared" si="0"/>
        <v>164.66449999999998</v>
      </c>
    </row>
    <row r="12" spans="1:6" x14ac:dyDescent="0.2">
      <c r="A12" s="1">
        <v>2034</v>
      </c>
      <c r="B12" s="1">
        <f>'5_Elec_Demand_Cost'!B11*0.358</f>
        <v>58.890999999999998</v>
      </c>
      <c r="C12" s="1">
        <f>'5_Elec_Demand_Cost'!B11*0.378</f>
        <v>62.180999999999997</v>
      </c>
      <c r="D12" s="1">
        <f>'5_Elec_Demand_Cost'!B11*0.093</f>
        <v>15.298500000000001</v>
      </c>
      <c r="E12" s="1">
        <f>'5_Elec_Demand_Cost'!B11*0.172</f>
        <v>28.293999999999997</v>
      </c>
      <c r="F12" s="1">
        <f t="shared" si="0"/>
        <v>164.66449999999998</v>
      </c>
    </row>
    <row r="13" spans="1:6" x14ac:dyDescent="0.2">
      <c r="A13" s="1">
        <v>2035</v>
      </c>
      <c r="B13" s="1">
        <f>'5_Elec_Demand_Cost'!B12*0.358</f>
        <v>58.890999999999998</v>
      </c>
      <c r="C13" s="1">
        <f>'5_Elec_Demand_Cost'!B12*0.378</f>
        <v>62.180999999999997</v>
      </c>
      <c r="D13" s="1">
        <f>'5_Elec_Demand_Cost'!B12*0.093</f>
        <v>15.298500000000001</v>
      </c>
      <c r="E13" s="1">
        <f>'5_Elec_Demand_Cost'!B12*0.172</f>
        <v>28.293999999999997</v>
      </c>
      <c r="F13" s="1">
        <f t="shared" si="0"/>
        <v>164.66449999999998</v>
      </c>
    </row>
    <row r="14" spans="1:6" x14ac:dyDescent="0.2">
      <c r="A14" s="1">
        <v>2036</v>
      </c>
      <c r="B14" s="1">
        <f>'5_Elec_Demand_Cost'!B13*0.358</f>
        <v>58.890999999999998</v>
      </c>
      <c r="C14" s="1">
        <f>'5_Elec_Demand_Cost'!B13*0.378</f>
        <v>62.180999999999997</v>
      </c>
      <c r="D14" s="1">
        <f>'5_Elec_Demand_Cost'!B13*0.093</f>
        <v>15.298500000000001</v>
      </c>
      <c r="E14" s="1">
        <f>'5_Elec_Demand_Cost'!B13*0.172</f>
        <v>28.293999999999997</v>
      </c>
      <c r="F14" s="1">
        <f t="shared" si="0"/>
        <v>164.66449999999998</v>
      </c>
    </row>
    <row r="15" spans="1:6" x14ac:dyDescent="0.2">
      <c r="A15" s="1">
        <v>2037</v>
      </c>
      <c r="B15" s="1">
        <f>'5_Elec_Demand_Cost'!B14*0.358</f>
        <v>58.890999999999998</v>
      </c>
      <c r="C15" s="1">
        <f>'5_Elec_Demand_Cost'!B14*0.378</f>
        <v>62.180999999999997</v>
      </c>
      <c r="D15" s="1">
        <f>'5_Elec_Demand_Cost'!B14*0.093</f>
        <v>15.298500000000001</v>
      </c>
      <c r="E15" s="1">
        <f>'5_Elec_Demand_Cost'!B14*0.172</f>
        <v>28.293999999999997</v>
      </c>
      <c r="F15" s="1">
        <f t="shared" si="0"/>
        <v>164.66449999999998</v>
      </c>
    </row>
    <row r="16" spans="1:6" x14ac:dyDescent="0.2">
      <c r="A16" s="1">
        <v>2038</v>
      </c>
      <c r="B16" s="1">
        <f>'5_Elec_Demand_Cost'!B15*0.358</f>
        <v>58.890999999999998</v>
      </c>
      <c r="C16" s="1">
        <f>'5_Elec_Demand_Cost'!B15*0.378</f>
        <v>62.180999999999997</v>
      </c>
      <c r="D16" s="1">
        <f>'5_Elec_Demand_Cost'!B15*0.093</f>
        <v>15.298500000000001</v>
      </c>
      <c r="E16" s="1">
        <f>'5_Elec_Demand_Cost'!B15*0.172</f>
        <v>28.293999999999997</v>
      </c>
      <c r="F16" s="1">
        <f t="shared" si="0"/>
        <v>164.66449999999998</v>
      </c>
    </row>
    <row r="17" spans="1:6" x14ac:dyDescent="0.2">
      <c r="A17" s="1">
        <v>2039</v>
      </c>
      <c r="B17" s="1">
        <f>'5_Elec_Demand_Cost'!B16*0.358</f>
        <v>58.890999999999998</v>
      </c>
      <c r="C17" s="1">
        <f>'5_Elec_Demand_Cost'!B16*0.378</f>
        <v>62.180999999999997</v>
      </c>
      <c r="D17" s="1">
        <f>'5_Elec_Demand_Cost'!B16*0.093</f>
        <v>15.298500000000001</v>
      </c>
      <c r="E17" s="1">
        <f>'5_Elec_Demand_Cost'!B16*0.172</f>
        <v>28.293999999999997</v>
      </c>
      <c r="F17" s="1">
        <f t="shared" si="0"/>
        <v>164.66449999999998</v>
      </c>
    </row>
    <row r="18" spans="1:6" x14ac:dyDescent="0.2">
      <c r="A18" s="1">
        <v>2040</v>
      </c>
      <c r="B18" s="1">
        <f>'5_Elec_Demand_Cost'!B17*0.358</f>
        <v>58.890999999999998</v>
      </c>
      <c r="C18" s="1">
        <f>'5_Elec_Demand_Cost'!B17*0.378</f>
        <v>62.180999999999997</v>
      </c>
      <c r="D18" s="1">
        <f>'5_Elec_Demand_Cost'!B17*0.093</f>
        <v>15.298500000000001</v>
      </c>
      <c r="E18" s="1">
        <f>'5_Elec_Demand_Cost'!B17*0.172</f>
        <v>28.293999999999997</v>
      </c>
      <c r="F18" s="1">
        <f t="shared" si="0"/>
        <v>164.66449999999998</v>
      </c>
    </row>
    <row r="19" spans="1:6" x14ac:dyDescent="0.2">
      <c r="A19" s="1">
        <v>2041</v>
      </c>
      <c r="B19" s="1">
        <f>'5_Elec_Demand_Cost'!B18*0.358</f>
        <v>58.890999999999998</v>
      </c>
      <c r="C19" s="1">
        <f>'5_Elec_Demand_Cost'!B18*0.378</f>
        <v>62.180999999999997</v>
      </c>
      <c r="D19" s="1">
        <f>'5_Elec_Demand_Cost'!B18*0.093</f>
        <v>15.298500000000001</v>
      </c>
      <c r="E19" s="1">
        <f>'5_Elec_Demand_Cost'!B18*0.172</f>
        <v>28.293999999999997</v>
      </c>
      <c r="F19" s="1">
        <f t="shared" si="0"/>
        <v>164.66449999999998</v>
      </c>
    </row>
    <row r="20" spans="1:6" x14ac:dyDescent="0.2">
      <c r="A20" s="1">
        <v>2042</v>
      </c>
      <c r="B20" s="1">
        <f>'5_Elec_Demand_Cost'!B19*0.358</f>
        <v>58.890999999999998</v>
      </c>
      <c r="C20" s="1">
        <f>'5_Elec_Demand_Cost'!B19*0.378</f>
        <v>62.180999999999997</v>
      </c>
      <c r="D20" s="1">
        <f>'5_Elec_Demand_Cost'!B19*0.093</f>
        <v>15.298500000000001</v>
      </c>
      <c r="E20" s="1">
        <f>'5_Elec_Demand_Cost'!B19*0.172</f>
        <v>28.293999999999997</v>
      </c>
      <c r="F20" s="1">
        <f t="shared" si="0"/>
        <v>164.66449999999998</v>
      </c>
    </row>
    <row r="21" spans="1:6" x14ac:dyDescent="0.2">
      <c r="A21" s="1">
        <v>2043</v>
      </c>
      <c r="B21" s="1">
        <f>'5_Elec_Demand_Cost'!B20*0.358</f>
        <v>58.890999999999998</v>
      </c>
      <c r="C21" s="1">
        <f>'5_Elec_Demand_Cost'!B20*0.378</f>
        <v>62.180999999999997</v>
      </c>
      <c r="D21" s="1">
        <f>'5_Elec_Demand_Cost'!B20*0.093</f>
        <v>15.298500000000001</v>
      </c>
      <c r="E21" s="1">
        <f>'5_Elec_Demand_Cost'!B20*0.172</f>
        <v>28.293999999999997</v>
      </c>
      <c r="F21" s="1">
        <f t="shared" si="0"/>
        <v>164.66449999999998</v>
      </c>
    </row>
    <row r="22" spans="1:6" x14ac:dyDescent="0.2">
      <c r="A22" s="1">
        <v>2044</v>
      </c>
      <c r="B22" s="1">
        <f>'5_Elec_Demand_Cost'!B21*0.358</f>
        <v>58.890999999999998</v>
      </c>
      <c r="C22" s="1">
        <f>'5_Elec_Demand_Cost'!B21*0.378</f>
        <v>62.180999999999997</v>
      </c>
      <c r="D22" s="1">
        <f>'5_Elec_Demand_Cost'!B21*0.093</f>
        <v>15.298500000000001</v>
      </c>
      <c r="E22" s="1">
        <f>'5_Elec_Demand_Cost'!B21*0.172</f>
        <v>28.293999999999997</v>
      </c>
      <c r="F22" s="1">
        <f t="shared" si="0"/>
        <v>164.66449999999998</v>
      </c>
    </row>
    <row r="23" spans="1:6" x14ac:dyDescent="0.2">
      <c r="A23" s="1">
        <v>2045</v>
      </c>
      <c r="B23" s="1">
        <f>'5_Elec_Demand_Cost'!B22*0.358</f>
        <v>58.890999999999998</v>
      </c>
      <c r="C23" s="1">
        <f>'5_Elec_Demand_Cost'!B22*0.378</f>
        <v>62.180999999999997</v>
      </c>
      <c r="D23" s="1">
        <f>'5_Elec_Demand_Cost'!B22*0.093</f>
        <v>15.298500000000001</v>
      </c>
      <c r="E23" s="1">
        <f>'5_Elec_Demand_Cost'!B22*0.172</f>
        <v>28.293999999999997</v>
      </c>
      <c r="F23" s="1">
        <f t="shared" si="0"/>
        <v>164.66449999999998</v>
      </c>
    </row>
    <row r="24" spans="1:6" x14ac:dyDescent="0.2">
      <c r="A24" s="1">
        <v>2046</v>
      </c>
      <c r="B24" s="1">
        <f>'5_Elec_Demand_Cost'!B23*0.358</f>
        <v>58.890999999999998</v>
      </c>
      <c r="C24" s="1">
        <f>'5_Elec_Demand_Cost'!B23*0.378</f>
        <v>62.180999999999997</v>
      </c>
      <c r="D24" s="1">
        <f>'5_Elec_Demand_Cost'!B23*0.093</f>
        <v>15.298500000000001</v>
      </c>
      <c r="E24" s="1">
        <f>'5_Elec_Demand_Cost'!B23*0.172</f>
        <v>28.293999999999997</v>
      </c>
      <c r="F24" s="1">
        <f t="shared" si="0"/>
        <v>164.66449999999998</v>
      </c>
    </row>
    <row r="25" spans="1:6" x14ac:dyDescent="0.2">
      <c r="A25" s="1">
        <v>2047</v>
      </c>
      <c r="B25" s="1">
        <f>'5_Elec_Demand_Cost'!B24*0.358</f>
        <v>58.890999999999998</v>
      </c>
      <c r="C25" s="1">
        <f>'5_Elec_Demand_Cost'!B24*0.378</f>
        <v>62.180999999999997</v>
      </c>
      <c r="D25" s="1">
        <f>'5_Elec_Demand_Cost'!B24*0.093</f>
        <v>15.298500000000001</v>
      </c>
      <c r="E25" s="1">
        <f>'5_Elec_Demand_Cost'!B24*0.172</f>
        <v>28.293999999999997</v>
      </c>
      <c r="F25" s="1">
        <f t="shared" si="0"/>
        <v>164.66449999999998</v>
      </c>
    </row>
    <row r="26" spans="1:6" x14ac:dyDescent="0.2">
      <c r="A26" s="1">
        <v>2048</v>
      </c>
      <c r="B26" s="1">
        <f>'5_Elec_Demand_Cost'!B25*0.358</f>
        <v>58.890999999999998</v>
      </c>
      <c r="C26" s="1">
        <f>'5_Elec_Demand_Cost'!B25*0.378</f>
        <v>62.180999999999997</v>
      </c>
      <c r="D26" s="1">
        <f>'5_Elec_Demand_Cost'!B25*0.093</f>
        <v>15.298500000000001</v>
      </c>
      <c r="E26" s="1">
        <f>'5_Elec_Demand_Cost'!B25*0.172</f>
        <v>28.293999999999997</v>
      </c>
      <c r="F26" s="1">
        <f t="shared" si="0"/>
        <v>164.66449999999998</v>
      </c>
    </row>
    <row r="27" spans="1:6" x14ac:dyDescent="0.2">
      <c r="A27" s="1">
        <v>2049</v>
      </c>
      <c r="B27" s="1">
        <f>'5_Elec_Demand_Cost'!B26*0.358</f>
        <v>58.890999999999998</v>
      </c>
      <c r="C27" s="1">
        <f>'5_Elec_Demand_Cost'!B26*0.378</f>
        <v>62.180999999999997</v>
      </c>
      <c r="D27" s="1">
        <f>'5_Elec_Demand_Cost'!B26*0.093</f>
        <v>15.298500000000001</v>
      </c>
      <c r="E27" s="1">
        <f>'5_Elec_Demand_Cost'!B26*0.172</f>
        <v>28.293999999999997</v>
      </c>
      <c r="F27" s="1">
        <f t="shared" si="0"/>
        <v>164.66449999999998</v>
      </c>
    </row>
    <row r="28" spans="1:6" x14ac:dyDescent="0.2">
      <c r="A28" s="1">
        <v>2050</v>
      </c>
      <c r="B28" s="1">
        <f>'5_Elec_Demand_Cost'!B27*0.358</f>
        <v>58.890999999999998</v>
      </c>
      <c r="C28" s="1">
        <f>'5_Elec_Demand_Cost'!B27*0.378</f>
        <v>62.180999999999997</v>
      </c>
      <c r="D28" s="1">
        <f>'5_Elec_Demand_Cost'!B27*0.093</f>
        <v>15.298500000000001</v>
      </c>
      <c r="E28" s="1">
        <f>'5_Elec_Demand_Cost'!B27*0.172</f>
        <v>28.293999999999997</v>
      </c>
      <c r="F28" s="1">
        <f t="shared" si="0"/>
        <v>164.66449999999998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2"/>
  <sheetViews>
    <sheetView workbookViewId="0"/>
  </sheetViews>
  <sheetFormatPr baseColWidth="10" defaultColWidth="8.83203125" defaultRowHeight="15" x14ac:dyDescent="0.2"/>
  <cols>
    <col min="1" max="1" width="12" customWidth="1"/>
    <col min="2" max="2" width="25" customWidth="1"/>
    <col min="3" max="3" width="12" customWidth="1"/>
    <col min="4" max="4" width="15" customWidth="1"/>
    <col min="5" max="5" width="14" customWidth="1"/>
    <col min="6" max="7" width="12" customWidth="1"/>
  </cols>
  <sheetData>
    <row r="1" spans="1:7" x14ac:dyDescent="0.2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  <c r="F1" s="4" t="s">
        <v>90</v>
      </c>
      <c r="G1" s="4" t="s">
        <v>91</v>
      </c>
    </row>
    <row r="2" spans="1:7" x14ac:dyDescent="0.2">
      <c r="A2" s="1" t="s">
        <v>92</v>
      </c>
      <c r="B2" s="1" t="s">
        <v>93</v>
      </c>
      <c r="C2" s="1" t="s">
        <v>94</v>
      </c>
      <c r="D2" s="1" t="s">
        <v>95</v>
      </c>
      <c r="E2" s="1">
        <v>1100</v>
      </c>
      <c r="F2" s="1">
        <v>1991</v>
      </c>
      <c r="G2" s="1">
        <v>34</v>
      </c>
    </row>
    <row r="3" spans="1:7" x14ac:dyDescent="0.2">
      <c r="A3" s="1" t="s">
        <v>92</v>
      </c>
      <c r="B3" s="1" t="s">
        <v>96</v>
      </c>
      <c r="C3" s="1" t="s">
        <v>94</v>
      </c>
      <c r="D3" s="1" t="s">
        <v>95</v>
      </c>
      <c r="E3" s="1">
        <v>850</v>
      </c>
      <c r="F3" s="1">
        <v>2021</v>
      </c>
      <c r="G3" s="1">
        <v>4</v>
      </c>
    </row>
    <row r="4" spans="1:7" x14ac:dyDescent="0.2">
      <c r="A4" s="1" t="s">
        <v>92</v>
      </c>
      <c r="B4" s="1" t="s">
        <v>97</v>
      </c>
      <c r="C4" s="1" t="s">
        <v>94</v>
      </c>
      <c r="D4" s="1" t="s">
        <v>95</v>
      </c>
      <c r="E4" s="1">
        <v>1300</v>
      </c>
      <c r="F4" s="1">
        <v>1991</v>
      </c>
      <c r="G4" s="1">
        <v>34</v>
      </c>
    </row>
    <row r="5" spans="1:7" x14ac:dyDescent="0.2">
      <c r="A5" s="1" t="s">
        <v>92</v>
      </c>
      <c r="B5" s="1" t="s">
        <v>98</v>
      </c>
      <c r="C5" s="1" t="s">
        <v>94</v>
      </c>
      <c r="D5" s="1" t="s">
        <v>95</v>
      </c>
      <c r="E5" s="1">
        <v>1525</v>
      </c>
      <c r="F5" s="1">
        <v>1991</v>
      </c>
      <c r="G5" s="1">
        <v>34</v>
      </c>
    </row>
    <row r="6" spans="1:7" x14ac:dyDescent="0.2">
      <c r="A6" s="1" t="s">
        <v>92</v>
      </c>
      <c r="B6" s="1" t="s">
        <v>93</v>
      </c>
      <c r="C6" s="1" t="s">
        <v>99</v>
      </c>
      <c r="D6" s="1" t="s">
        <v>100</v>
      </c>
      <c r="E6" s="1">
        <v>1230</v>
      </c>
      <c r="F6" s="1">
        <v>1992</v>
      </c>
      <c r="G6" s="1">
        <v>33</v>
      </c>
    </row>
    <row r="7" spans="1:7" x14ac:dyDescent="0.2">
      <c r="A7" s="1" t="s">
        <v>92</v>
      </c>
      <c r="B7" s="1" t="s">
        <v>97</v>
      </c>
      <c r="C7" s="1" t="s">
        <v>99</v>
      </c>
      <c r="D7" s="1" t="s">
        <v>100</v>
      </c>
      <c r="E7" s="1">
        <v>1030</v>
      </c>
      <c r="F7" s="1">
        <v>2021</v>
      </c>
      <c r="G7" s="1">
        <v>4</v>
      </c>
    </row>
    <row r="8" spans="1:7" x14ac:dyDescent="0.2">
      <c r="A8" s="1" t="s">
        <v>92</v>
      </c>
      <c r="B8" s="1" t="s">
        <v>101</v>
      </c>
      <c r="C8" s="1" t="s">
        <v>99</v>
      </c>
      <c r="D8" s="1" t="s">
        <v>100</v>
      </c>
      <c r="E8" s="1">
        <v>2285</v>
      </c>
      <c r="F8" s="1">
        <v>1979</v>
      </c>
      <c r="G8" s="1">
        <v>46</v>
      </c>
    </row>
    <row r="9" spans="1:7" x14ac:dyDescent="0.2">
      <c r="A9" s="1" t="s">
        <v>92</v>
      </c>
      <c r="B9" s="1" t="s">
        <v>102</v>
      </c>
      <c r="C9" s="1" t="s">
        <v>99</v>
      </c>
      <c r="D9" s="1" t="s">
        <v>100</v>
      </c>
      <c r="E9" s="1">
        <v>900</v>
      </c>
      <c r="F9" s="1">
        <v>2021</v>
      </c>
      <c r="G9" s="1">
        <v>4</v>
      </c>
    </row>
    <row r="10" spans="1:7" x14ac:dyDescent="0.2">
      <c r="A10" s="1" t="s">
        <v>92</v>
      </c>
      <c r="B10" s="1" t="s">
        <v>103</v>
      </c>
      <c r="C10" s="1" t="s">
        <v>104</v>
      </c>
      <c r="D10" s="1" t="s">
        <v>105</v>
      </c>
      <c r="E10" s="1">
        <v>900</v>
      </c>
      <c r="F10" s="1">
        <v>1991</v>
      </c>
      <c r="G10" s="1">
        <v>34</v>
      </c>
    </row>
    <row r="11" spans="1:7" x14ac:dyDescent="0.2">
      <c r="A11" s="1" t="s">
        <v>92</v>
      </c>
      <c r="B11" s="1" t="s">
        <v>106</v>
      </c>
      <c r="C11" s="1" t="s">
        <v>104</v>
      </c>
      <c r="D11" s="1" t="s">
        <v>105</v>
      </c>
      <c r="E11" s="1">
        <v>182</v>
      </c>
      <c r="F11" s="1">
        <v>2018</v>
      </c>
      <c r="G11" s="1">
        <v>7</v>
      </c>
    </row>
    <row r="12" spans="1:7" x14ac:dyDescent="0.2">
      <c r="A12" s="1" t="s">
        <v>92</v>
      </c>
      <c r="B12" s="1" t="s">
        <v>107</v>
      </c>
      <c r="C12" s="1" t="s">
        <v>108</v>
      </c>
      <c r="D12" s="1" t="s">
        <v>105</v>
      </c>
      <c r="E12" s="1">
        <v>660</v>
      </c>
      <c r="F12" s="1">
        <v>1989</v>
      </c>
      <c r="G12" s="1">
        <v>36</v>
      </c>
    </row>
    <row r="13" spans="1:7" x14ac:dyDescent="0.2">
      <c r="A13" s="1" t="s">
        <v>109</v>
      </c>
      <c r="B13" s="1" t="s">
        <v>93</v>
      </c>
      <c r="C13" s="1" t="s">
        <v>94</v>
      </c>
      <c r="D13" s="1" t="s">
        <v>95</v>
      </c>
      <c r="E13" s="1">
        <v>550</v>
      </c>
      <c r="F13" s="1">
        <v>1997</v>
      </c>
      <c r="G13" s="1">
        <v>28</v>
      </c>
    </row>
    <row r="14" spans="1:7" x14ac:dyDescent="0.2">
      <c r="A14" s="1" t="s">
        <v>109</v>
      </c>
      <c r="B14" s="1" t="s">
        <v>110</v>
      </c>
      <c r="C14" s="1" t="s">
        <v>94</v>
      </c>
      <c r="D14" s="1" t="s">
        <v>95</v>
      </c>
      <c r="E14" s="1">
        <v>420</v>
      </c>
      <c r="F14" s="1">
        <v>2011</v>
      </c>
      <c r="G14" s="1">
        <v>14</v>
      </c>
    </row>
    <row r="15" spans="1:7" x14ac:dyDescent="0.2">
      <c r="A15" s="1" t="s">
        <v>109</v>
      </c>
      <c r="B15" s="1" t="s">
        <v>96</v>
      </c>
      <c r="C15" s="1" t="s">
        <v>94</v>
      </c>
      <c r="D15" s="1" t="s">
        <v>95</v>
      </c>
      <c r="E15" s="1">
        <v>451</v>
      </c>
      <c r="F15" s="1">
        <v>2021</v>
      </c>
      <c r="G15" s="1">
        <v>4</v>
      </c>
    </row>
    <row r="16" spans="1:7" x14ac:dyDescent="0.2">
      <c r="A16" s="1" t="s">
        <v>109</v>
      </c>
      <c r="B16" s="1" t="s">
        <v>97</v>
      </c>
      <c r="C16" s="1" t="s">
        <v>94</v>
      </c>
      <c r="D16" s="1" t="s">
        <v>95</v>
      </c>
      <c r="E16" s="1">
        <v>680</v>
      </c>
      <c r="F16" s="1">
        <v>1991</v>
      </c>
      <c r="G16" s="1">
        <v>34</v>
      </c>
    </row>
    <row r="17" spans="1:7" x14ac:dyDescent="0.2">
      <c r="A17" s="1" t="s">
        <v>109</v>
      </c>
      <c r="B17" s="1" t="s">
        <v>98</v>
      </c>
      <c r="C17" s="1" t="s">
        <v>94</v>
      </c>
      <c r="D17" s="1" t="s">
        <v>95</v>
      </c>
      <c r="E17" s="1">
        <v>1064</v>
      </c>
      <c r="F17" s="1">
        <v>1991</v>
      </c>
      <c r="G17" s="1">
        <v>34</v>
      </c>
    </row>
    <row r="18" spans="1:7" x14ac:dyDescent="0.2">
      <c r="A18" s="1" t="s">
        <v>109</v>
      </c>
      <c r="B18" s="1" t="s">
        <v>93</v>
      </c>
      <c r="C18" s="1" t="s">
        <v>99</v>
      </c>
      <c r="D18" s="1" t="s">
        <v>100</v>
      </c>
      <c r="E18" s="1">
        <v>641</v>
      </c>
      <c r="F18" s="1">
        <v>1992</v>
      </c>
      <c r="G18" s="1">
        <v>33</v>
      </c>
    </row>
    <row r="19" spans="1:7" x14ac:dyDescent="0.2">
      <c r="A19" s="1" t="s">
        <v>109</v>
      </c>
      <c r="B19" s="1" t="s">
        <v>97</v>
      </c>
      <c r="C19" s="1" t="s">
        <v>99</v>
      </c>
      <c r="D19" s="1" t="s">
        <v>100</v>
      </c>
      <c r="E19" s="1">
        <v>1300</v>
      </c>
      <c r="F19" s="1">
        <v>2021</v>
      </c>
      <c r="G19" s="1">
        <v>4</v>
      </c>
    </row>
    <row r="20" spans="1:7" x14ac:dyDescent="0.2">
      <c r="A20" s="1" t="s">
        <v>109</v>
      </c>
      <c r="B20" s="1" t="s">
        <v>101</v>
      </c>
      <c r="C20" s="1" t="s">
        <v>99</v>
      </c>
      <c r="D20" s="1" t="s">
        <v>100</v>
      </c>
      <c r="E20" s="1">
        <v>1289</v>
      </c>
      <c r="F20" s="1">
        <v>1979</v>
      </c>
      <c r="G20" s="1">
        <v>46</v>
      </c>
    </row>
    <row r="21" spans="1:7" x14ac:dyDescent="0.2">
      <c r="A21" s="1" t="s">
        <v>109</v>
      </c>
      <c r="B21" s="1" t="s">
        <v>102</v>
      </c>
      <c r="C21" s="1" t="s">
        <v>99</v>
      </c>
      <c r="D21" s="1" t="s">
        <v>100</v>
      </c>
      <c r="E21" s="1">
        <v>970</v>
      </c>
      <c r="F21" s="1">
        <v>2021</v>
      </c>
      <c r="G21" s="1">
        <v>4</v>
      </c>
    </row>
    <row r="22" spans="1:7" x14ac:dyDescent="0.2">
      <c r="A22" s="1" t="s">
        <v>109</v>
      </c>
      <c r="B22" s="1" t="s">
        <v>103</v>
      </c>
      <c r="C22" s="1" t="s">
        <v>104</v>
      </c>
      <c r="D22" s="1" t="s">
        <v>105</v>
      </c>
      <c r="E22" s="1">
        <v>560</v>
      </c>
      <c r="F22" s="1">
        <v>1991</v>
      </c>
      <c r="G22" s="1">
        <v>34</v>
      </c>
    </row>
    <row r="23" spans="1:7" x14ac:dyDescent="0.2">
      <c r="A23" s="1" t="s">
        <v>109</v>
      </c>
      <c r="B23" s="1" t="s">
        <v>106</v>
      </c>
      <c r="C23" s="1" t="s">
        <v>104</v>
      </c>
      <c r="D23" s="1" t="s">
        <v>105</v>
      </c>
      <c r="E23" s="1">
        <v>840</v>
      </c>
      <c r="F23" s="1">
        <v>2018</v>
      </c>
      <c r="G23" s="1">
        <v>7</v>
      </c>
    </row>
    <row r="24" spans="1:7" x14ac:dyDescent="0.2">
      <c r="A24" s="1" t="s">
        <v>109</v>
      </c>
      <c r="B24" s="1" t="s">
        <v>111</v>
      </c>
      <c r="C24" s="1" t="s">
        <v>108</v>
      </c>
      <c r="D24" s="1" t="s">
        <v>105</v>
      </c>
      <c r="E24" s="1">
        <v>600</v>
      </c>
      <c r="F24" s="1">
        <v>2016</v>
      </c>
      <c r="G24" s="1">
        <v>9</v>
      </c>
    </row>
    <row r="25" spans="1:7" x14ac:dyDescent="0.2">
      <c r="A25" s="1" t="s">
        <v>109</v>
      </c>
      <c r="B25" s="1" t="s">
        <v>112</v>
      </c>
      <c r="C25" s="1" t="s">
        <v>108</v>
      </c>
      <c r="D25" s="1" t="s">
        <v>105</v>
      </c>
      <c r="E25" s="1">
        <v>620</v>
      </c>
      <c r="F25" s="1">
        <v>1996</v>
      </c>
      <c r="G25" s="1">
        <v>29</v>
      </c>
    </row>
    <row r="26" spans="1:7" x14ac:dyDescent="0.2">
      <c r="A26" s="1" t="s">
        <v>109</v>
      </c>
      <c r="B26" s="1" t="s">
        <v>107</v>
      </c>
      <c r="C26" s="1" t="s">
        <v>108</v>
      </c>
      <c r="D26" s="1" t="s">
        <v>105</v>
      </c>
      <c r="E26" s="1">
        <v>380</v>
      </c>
      <c r="F26" s="1">
        <v>1989</v>
      </c>
      <c r="G26" s="1">
        <v>36</v>
      </c>
    </row>
    <row r="27" spans="1:7" x14ac:dyDescent="0.2">
      <c r="A27" s="1" t="s">
        <v>109</v>
      </c>
      <c r="B27" s="1" t="s">
        <v>113</v>
      </c>
      <c r="C27" s="1" t="s">
        <v>108</v>
      </c>
      <c r="D27" s="1" t="s">
        <v>105</v>
      </c>
      <c r="E27" s="1">
        <v>300</v>
      </c>
      <c r="F27" s="1">
        <v>1997</v>
      </c>
      <c r="G27" s="1">
        <v>28</v>
      </c>
    </row>
    <row r="28" spans="1:7" x14ac:dyDescent="0.2">
      <c r="A28" s="1" t="s">
        <v>109</v>
      </c>
      <c r="B28" s="1" t="s">
        <v>114</v>
      </c>
      <c r="C28" s="1" t="s">
        <v>108</v>
      </c>
      <c r="D28" s="1" t="s">
        <v>105</v>
      </c>
      <c r="E28" s="1">
        <v>500</v>
      </c>
      <c r="F28" s="1">
        <v>1991</v>
      </c>
      <c r="G28" s="1">
        <v>34</v>
      </c>
    </row>
    <row r="29" spans="1:7" x14ac:dyDescent="0.2">
      <c r="A29" s="1" t="s">
        <v>115</v>
      </c>
      <c r="B29" s="1" t="s">
        <v>93</v>
      </c>
      <c r="C29" s="1" t="s">
        <v>94</v>
      </c>
      <c r="D29" s="1" t="s">
        <v>95</v>
      </c>
      <c r="E29" s="1">
        <v>190</v>
      </c>
      <c r="F29" s="1">
        <v>1997</v>
      </c>
      <c r="G29" s="1">
        <v>28</v>
      </c>
    </row>
    <row r="30" spans="1:7" x14ac:dyDescent="0.2">
      <c r="A30" s="1" t="s">
        <v>115</v>
      </c>
      <c r="B30" s="1" t="s">
        <v>96</v>
      </c>
      <c r="C30" s="1" t="s">
        <v>94</v>
      </c>
      <c r="D30" s="1" t="s">
        <v>95</v>
      </c>
      <c r="E30" s="1">
        <v>163</v>
      </c>
      <c r="F30" s="1">
        <v>2021</v>
      </c>
      <c r="G30" s="1">
        <v>4</v>
      </c>
    </row>
    <row r="31" spans="1:7" x14ac:dyDescent="0.2">
      <c r="A31" s="1" t="s">
        <v>115</v>
      </c>
      <c r="B31" s="1" t="s">
        <v>97</v>
      </c>
      <c r="C31" s="1" t="s">
        <v>94</v>
      </c>
      <c r="D31" s="1" t="s">
        <v>95</v>
      </c>
      <c r="E31" s="1">
        <v>200</v>
      </c>
      <c r="F31" s="1">
        <v>1991</v>
      </c>
      <c r="G31" s="1">
        <v>34</v>
      </c>
    </row>
    <row r="32" spans="1:7" x14ac:dyDescent="0.2">
      <c r="A32" s="1" t="s">
        <v>115</v>
      </c>
      <c r="B32" s="1" t="s">
        <v>98</v>
      </c>
      <c r="C32" s="1" t="s">
        <v>94</v>
      </c>
      <c r="D32" s="1" t="s">
        <v>95</v>
      </c>
      <c r="E32" s="1">
        <v>150</v>
      </c>
      <c r="F32" s="1">
        <v>1991</v>
      </c>
      <c r="G32" s="1">
        <v>34</v>
      </c>
    </row>
    <row r="33" spans="1:7" x14ac:dyDescent="0.2">
      <c r="A33" s="1" t="s">
        <v>115</v>
      </c>
      <c r="B33" s="1" t="s">
        <v>116</v>
      </c>
      <c r="C33" s="1" t="s">
        <v>99</v>
      </c>
      <c r="D33" s="1" t="s">
        <v>100</v>
      </c>
      <c r="E33" s="1">
        <v>147</v>
      </c>
      <c r="F33" s="1">
        <v>1992</v>
      </c>
      <c r="G33" s="1">
        <v>33</v>
      </c>
    </row>
    <row r="34" spans="1:7" x14ac:dyDescent="0.2">
      <c r="A34" s="1" t="s">
        <v>115</v>
      </c>
      <c r="B34" s="1" t="s">
        <v>117</v>
      </c>
      <c r="C34" s="1" t="s">
        <v>99</v>
      </c>
      <c r="D34" s="1" t="s">
        <v>100</v>
      </c>
      <c r="E34" s="1">
        <v>130</v>
      </c>
      <c r="F34" s="1">
        <v>2022</v>
      </c>
      <c r="G34" s="1">
        <v>3</v>
      </c>
    </row>
    <row r="35" spans="1:7" x14ac:dyDescent="0.2">
      <c r="A35" s="1" t="s">
        <v>115</v>
      </c>
      <c r="B35" s="1" t="s">
        <v>93</v>
      </c>
      <c r="C35" s="1" t="s">
        <v>99</v>
      </c>
      <c r="D35" s="1" t="s">
        <v>100</v>
      </c>
      <c r="E35" s="1">
        <v>160</v>
      </c>
      <c r="F35" s="1">
        <v>2011</v>
      </c>
      <c r="G35" s="1">
        <v>14</v>
      </c>
    </row>
    <row r="36" spans="1:7" x14ac:dyDescent="0.2">
      <c r="A36" s="1" t="s">
        <v>115</v>
      </c>
      <c r="B36" s="1" t="s">
        <v>97</v>
      </c>
      <c r="C36" s="1" t="s">
        <v>99</v>
      </c>
      <c r="D36" s="1" t="s">
        <v>100</v>
      </c>
      <c r="E36" s="1">
        <v>306</v>
      </c>
      <c r="F36" s="1">
        <v>1991</v>
      </c>
      <c r="G36" s="1">
        <v>34</v>
      </c>
    </row>
    <row r="37" spans="1:7" x14ac:dyDescent="0.2">
      <c r="A37" s="1" t="s">
        <v>115</v>
      </c>
      <c r="B37" s="1" t="s">
        <v>101</v>
      </c>
      <c r="C37" s="1" t="s">
        <v>99</v>
      </c>
      <c r="D37" s="1" t="s">
        <v>100</v>
      </c>
      <c r="E37" s="1">
        <v>378</v>
      </c>
      <c r="F37" s="1">
        <v>1992</v>
      </c>
      <c r="G37" s="1">
        <v>33</v>
      </c>
    </row>
    <row r="38" spans="1:7" x14ac:dyDescent="0.2">
      <c r="A38" s="1" t="s">
        <v>115</v>
      </c>
      <c r="B38" s="1" t="s">
        <v>116</v>
      </c>
      <c r="C38" s="1" t="s">
        <v>108</v>
      </c>
      <c r="D38" s="1" t="s">
        <v>105</v>
      </c>
      <c r="E38" s="1">
        <v>90</v>
      </c>
      <c r="F38" s="1">
        <v>1979</v>
      </c>
      <c r="G38" s="1">
        <v>46</v>
      </c>
    </row>
    <row r="39" spans="1:7" x14ac:dyDescent="0.2">
      <c r="A39" s="1" t="s">
        <v>115</v>
      </c>
      <c r="B39" s="1" t="s">
        <v>103</v>
      </c>
      <c r="C39" s="1" t="s">
        <v>108</v>
      </c>
      <c r="D39" s="1" t="s">
        <v>105</v>
      </c>
      <c r="E39" s="1">
        <v>146</v>
      </c>
      <c r="F39" s="1">
        <v>2023</v>
      </c>
      <c r="G39" s="1">
        <v>2</v>
      </c>
    </row>
    <row r="40" spans="1:7" x14ac:dyDescent="0.2">
      <c r="A40" s="1" t="s">
        <v>115</v>
      </c>
      <c r="B40" s="1" t="s">
        <v>107</v>
      </c>
      <c r="C40" s="1" t="s">
        <v>108</v>
      </c>
      <c r="D40" s="1" t="s">
        <v>105</v>
      </c>
      <c r="E40" s="1">
        <v>130</v>
      </c>
      <c r="F40" s="1">
        <v>1989</v>
      </c>
      <c r="G40" s="1">
        <v>36</v>
      </c>
    </row>
    <row r="42" spans="1:7" x14ac:dyDescent="0.2">
      <c r="A42" s="5" t="s">
        <v>118</v>
      </c>
      <c r="E42">
        <v>25317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0"/>
  <sheetViews>
    <sheetView workbookViewId="0"/>
  </sheetViews>
  <sheetFormatPr baseColWidth="10" defaultColWidth="8.83203125" defaultRowHeight="15" x14ac:dyDescent="0.2"/>
  <cols>
    <col min="1" max="1" width="30" customWidth="1"/>
    <col min="2" max="2" width="20" customWidth="1"/>
    <col min="3" max="3" width="18" customWidth="1"/>
    <col min="4" max="4" width="15" customWidth="1"/>
  </cols>
  <sheetData>
    <row r="1" spans="1:4" x14ac:dyDescent="0.2">
      <c r="A1" s="1" t="s">
        <v>119</v>
      </c>
      <c r="B1" s="1"/>
      <c r="C1" s="1"/>
      <c r="D1" s="1"/>
    </row>
    <row r="2" spans="1:4" x14ac:dyDescent="0.2">
      <c r="A2" s="1"/>
      <c r="B2" s="1"/>
      <c r="C2" s="1"/>
      <c r="D2" s="1"/>
    </row>
    <row r="3" spans="1:4" x14ac:dyDescent="0.2">
      <c r="A3" s="2"/>
      <c r="B3" s="1"/>
      <c r="C3" s="1"/>
      <c r="D3" s="1"/>
    </row>
    <row r="4" spans="1:4" x14ac:dyDescent="0.2">
      <c r="A4" s="2" t="s">
        <v>120</v>
      </c>
      <c r="B4" s="2"/>
      <c r="C4" s="2"/>
      <c r="D4" s="2"/>
    </row>
    <row r="5" spans="1:4" x14ac:dyDescent="0.2">
      <c r="A5" s="1" t="s">
        <v>121</v>
      </c>
      <c r="B5" s="1">
        <f>'4_H2_Demand_Cost'!B27</f>
        <v>7703.5</v>
      </c>
      <c r="C5" s="1" t="s">
        <v>2</v>
      </c>
      <c r="D5" s="1"/>
    </row>
    <row r="6" spans="1:4" x14ac:dyDescent="0.2">
      <c r="A6" s="1" t="s">
        <v>122</v>
      </c>
      <c r="B6" s="1">
        <f>'4_H2_Demand_Cost'!F27</f>
        <v>20.260204999999999</v>
      </c>
      <c r="C6" s="1" t="s">
        <v>123</v>
      </c>
      <c r="D6" s="1"/>
    </row>
    <row r="7" spans="1:4" x14ac:dyDescent="0.2">
      <c r="A7" s="1" t="s">
        <v>124</v>
      </c>
      <c r="B7" s="1">
        <f>'4_H2_Demand_Cost'!F28</f>
        <v>677.44578999999999</v>
      </c>
      <c r="C7" s="1" t="s">
        <v>125</v>
      </c>
      <c r="D7" s="1"/>
    </row>
    <row r="8" spans="1:4" x14ac:dyDescent="0.2">
      <c r="A8" s="1"/>
      <c r="B8" s="1"/>
      <c r="C8" s="1"/>
      <c r="D8" s="1"/>
    </row>
    <row r="9" spans="1:4" x14ac:dyDescent="0.2">
      <c r="A9" s="2" t="s">
        <v>126</v>
      </c>
      <c r="B9" s="2"/>
      <c r="C9" s="2"/>
      <c r="D9" s="2"/>
    </row>
    <row r="10" spans="1:4" x14ac:dyDescent="0.2">
      <c r="A10" s="1" t="s">
        <v>127</v>
      </c>
      <c r="B10" s="1">
        <f>'5_Elec_Demand_Cost'!B27</f>
        <v>164.5</v>
      </c>
      <c r="C10" s="1" t="s">
        <v>26</v>
      </c>
      <c r="D10" s="1"/>
    </row>
    <row r="11" spans="1:4" x14ac:dyDescent="0.2">
      <c r="A11" s="1" t="s">
        <v>128</v>
      </c>
      <c r="B11" s="1">
        <f>'5_Elec_Demand_Cost'!F27</f>
        <v>31.482009999999999</v>
      </c>
      <c r="C11" s="1" t="s">
        <v>123</v>
      </c>
      <c r="D11" s="1"/>
    </row>
    <row r="12" spans="1:4" x14ac:dyDescent="0.2">
      <c r="A12" s="1" t="s">
        <v>124</v>
      </c>
      <c r="B12" s="1">
        <f>'5_Elec_Demand_Cost'!F28</f>
        <v>643.86286999999982</v>
      </c>
      <c r="C12" s="1" t="s">
        <v>125</v>
      </c>
      <c r="D12" s="1"/>
    </row>
    <row r="13" spans="1:4" x14ac:dyDescent="0.2">
      <c r="A13" s="1"/>
      <c r="B13" s="1"/>
      <c r="C13" s="1"/>
      <c r="D13" s="1"/>
    </row>
    <row r="14" spans="1:4" x14ac:dyDescent="0.2">
      <c r="A14" s="2"/>
      <c r="B14" s="1"/>
      <c r="C14" s="1"/>
      <c r="D14" s="1"/>
    </row>
    <row r="15" spans="1:4" x14ac:dyDescent="0.2">
      <c r="A15" s="2" t="s">
        <v>87</v>
      </c>
      <c r="B15" s="2" t="s">
        <v>129</v>
      </c>
      <c r="C15" s="2" t="s">
        <v>130</v>
      </c>
      <c r="D15" s="2"/>
    </row>
    <row r="16" spans="1:4" x14ac:dyDescent="0.2">
      <c r="A16" s="1" t="s">
        <v>94</v>
      </c>
      <c r="B16" s="1">
        <f>'7_Regional_H2'!B28</f>
        <v>3075.2372</v>
      </c>
      <c r="C16" s="1">
        <f>'8_Regional_Elec'!B28</f>
        <v>58.890999999999998</v>
      </c>
      <c r="D16" s="1"/>
    </row>
    <row r="17" spans="1:4" x14ac:dyDescent="0.2">
      <c r="A17" s="1" t="s">
        <v>99</v>
      </c>
      <c r="B17" s="1">
        <f>'7_Regional_H2'!C28</f>
        <v>3506.6331999999998</v>
      </c>
      <c r="C17" s="1">
        <f>'8_Regional_Elec'!C28</f>
        <v>62.180999999999997</v>
      </c>
      <c r="D17" s="1"/>
    </row>
    <row r="18" spans="1:4" x14ac:dyDescent="0.2">
      <c r="A18" s="1" t="s">
        <v>108</v>
      </c>
      <c r="B18" s="1">
        <f>'7_Regional_H2'!D28</f>
        <v>425.23320000000001</v>
      </c>
      <c r="C18" s="1">
        <f>'8_Regional_Elec'!D28</f>
        <v>15.298500000000001</v>
      </c>
      <c r="D18" s="1"/>
    </row>
    <row r="19" spans="1:4" x14ac:dyDescent="0.2">
      <c r="A19" s="1" t="s">
        <v>104</v>
      </c>
      <c r="B19" s="1">
        <f>'7_Regional_H2'!E28</f>
        <v>697.16674999999998</v>
      </c>
      <c r="C19" s="1">
        <f>'8_Regional_Elec'!E28</f>
        <v>28.293999999999997</v>
      </c>
      <c r="D19" s="1"/>
    </row>
    <row r="20" spans="1:4" x14ac:dyDescent="0.2">
      <c r="A20" s="1" t="s">
        <v>118</v>
      </c>
      <c r="B20" s="1">
        <f>'7_Regional_H2'!F28</f>
        <v>7704.2703499999998</v>
      </c>
      <c r="C20" s="1">
        <f>'8_Regional_Elec'!F28</f>
        <v>164.66449999999998</v>
      </c>
      <c r="D20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1_Parameters</vt:lpstr>
      <vt:lpstr>2_Price_Trajectories</vt:lpstr>
      <vt:lpstr>3_Production_Scenarios</vt:lpstr>
      <vt:lpstr>4_H2_Demand_Cost</vt:lpstr>
      <vt:lpstr>5_Elec_Demand_Cost</vt:lpstr>
      <vt:lpstr>6_CAPEX_Analysis</vt:lpstr>
      <vt:lpstr>7_Regional_H2</vt:lpstr>
      <vt:lpstr>8_Regional_Elec</vt:lpstr>
      <vt:lpstr>9_NCC_Facilities</vt:lpstr>
      <vt:lpstr>10_Summary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Jinsu</cp:lastModifiedBy>
  <dcterms:created xsi:type="dcterms:W3CDTF">2025-11-27T09:23:11Z</dcterms:created>
  <dcterms:modified xsi:type="dcterms:W3CDTF">2025-11-29T01:48:08Z</dcterms:modified>
</cp:coreProperties>
</file>