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odel_Overview" sheetId="1" state="visible" r:id="rId1"/>
    <sheet xmlns:r="http://schemas.openxmlformats.org/officeDocument/2006/relationships" name="2_Energy_Calculations" sheetId="2" state="visible" r:id="rId2"/>
    <sheet xmlns:r="http://schemas.openxmlformats.org/officeDocument/2006/relationships" name="3_Regional_Breakdown" sheetId="3" state="visible" r:id="rId3"/>
    <sheet xmlns:r="http://schemas.openxmlformats.org/officeDocument/2006/relationships" name="4_Six_Scenarios" sheetId="4" state="visible" r:id="rId4"/>
    <sheet xmlns:r="http://schemas.openxmlformats.org/officeDocument/2006/relationships" name="5_Refe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D6DCE5"/>
        <bgColor rgb="00D6DCE5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5" customWidth="1" min="4" max="4"/>
  </cols>
  <sheetData>
    <row r="1">
      <c r="A1" s="1" t="inlineStr">
        <is>
          <t>Korean Petrochemical MACC Model - Energy Calculation</t>
        </is>
      </c>
    </row>
    <row r="2">
      <c r="A2" s="2" t="inlineStr">
        <is>
          <t>Based on Streamlit Dashboard Results (2025-10-30)</t>
        </is>
      </c>
    </row>
    <row r="4">
      <c r="A4" s="3" t="inlineStr">
        <is>
          <t>VERIFIED MODEL RESULTS (Shaheen 2050 - NCC-H2 Pathway)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Source</t>
        </is>
      </c>
    </row>
    <row r="6">
      <c r="A6" s="5" t="inlineStr">
        <is>
          <t>Ethylene Production (2050)</t>
        </is>
      </c>
      <c r="B6" s="5" t="n">
        <v>13756</v>
      </c>
      <c r="C6" s="5" t="inlineStr">
        <is>
          <t>kt/year</t>
        </is>
      </c>
      <c r="D6" s="5" t="inlineStr">
        <is>
          <t>11,962 × 1.15</t>
        </is>
      </c>
    </row>
    <row r="7">
      <c r="A7" s="5" t="inlineStr">
        <is>
          <t>H2 Demand</t>
        </is>
      </c>
      <c r="B7" s="5" t="n">
        <v>7703.5</v>
      </c>
      <c r="C7" s="5" t="inlineStr">
        <is>
          <t>kt/year</t>
        </is>
      </c>
      <c r="D7" s="5" t="inlineStr">
        <is>
          <t>13,756 × 0.56</t>
        </is>
      </c>
    </row>
    <row r="8">
      <c r="A8" s="5" t="inlineStr">
        <is>
          <t>Electricity for H2 Production</t>
        </is>
      </c>
      <c r="B8" s="5" t="n">
        <v>385.2</v>
      </c>
      <c r="C8" s="5" t="inlineStr">
        <is>
          <t>TWh/year</t>
        </is>
      </c>
      <c r="D8" s="5" t="inlineStr">
        <is>
          <t>7,703.5 × 50 kWh/kg</t>
        </is>
      </c>
    </row>
    <row r="9">
      <c r="A9" s="5" t="inlineStr">
        <is>
          <t>Total H2 Infrastructure</t>
        </is>
      </c>
      <c r="B9" s="5" t="n">
        <v>7703.5</v>
      </c>
      <c r="C9" s="5" t="inlineStr">
        <is>
          <t>kt/year</t>
        </is>
      </c>
      <c r="D9" s="5" t="inlineStr">
        <is>
          <t>Model 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Energy Consumption Calculations (Corrected)</t>
        </is>
      </c>
    </row>
    <row r="3">
      <c r="A3" s="6" t="inlineStr">
        <is>
          <t>INPUT PARAMETERS</t>
        </is>
      </c>
    </row>
    <row r="4">
      <c r="A4" s="4" t="inlineStr">
        <is>
          <t>Parameter</t>
        </is>
      </c>
      <c r="B4" s="4" t="inlineStr">
        <is>
          <t>Cell Ref</t>
        </is>
      </c>
      <c r="C4" s="4" t="inlineStr">
        <is>
          <t>Value</t>
        </is>
      </c>
      <c r="D4" s="4" t="inlineStr">
        <is>
          <t>Unit</t>
        </is>
      </c>
      <c r="E4" s="4" t="inlineStr">
        <is>
          <t>Source</t>
        </is>
      </c>
    </row>
    <row r="5">
      <c r="A5" s="5" t="inlineStr">
        <is>
          <t>Base Year Ethylene (2025)</t>
        </is>
      </c>
      <c r="B5" s="5" t="inlineStr">
        <is>
          <t>C6</t>
        </is>
      </c>
      <c r="C5" s="5" t="n">
        <v>11962</v>
      </c>
      <c r="D5" s="5" t="inlineStr">
        <is>
          <t>kt/year</t>
        </is>
      </c>
      <c r="E5" s="5" t="inlineStr">
        <is>
          <t>248 facility database</t>
        </is>
      </c>
    </row>
    <row r="6">
      <c r="A6" s="5" t="inlineStr">
        <is>
          <t>H2 Intensity</t>
        </is>
      </c>
      <c r="B6" s="5" t="inlineStr">
        <is>
          <t>C7</t>
        </is>
      </c>
      <c r="C6" s="5" t="n">
        <v>0.5600000000000001</v>
      </c>
      <c r="D6" s="5" t="inlineStr">
        <is>
          <t>ton H2/ton C2H4</t>
        </is>
      </c>
      <c r="E6" s="5" t="inlineStr">
        <is>
          <t>Chen 2024, Gupta 2023, Park 2022</t>
        </is>
      </c>
    </row>
    <row r="7">
      <c r="A7" s="5" t="inlineStr">
        <is>
          <t>Electricity Intensity</t>
        </is>
      </c>
      <c r="B7" s="5" t="inlineStr">
        <is>
          <t>C8</t>
        </is>
      </c>
      <c r="C7" s="5" t="n">
        <v>5</v>
      </c>
      <c r="D7" s="5" t="inlineStr">
        <is>
          <t>MWh/ton C2H4</t>
        </is>
      </c>
      <c r="E7" s="5" t="inlineStr">
        <is>
          <t>BASF/SABIC/Linde 2024</t>
        </is>
      </c>
    </row>
    <row r="8">
      <c r="A8" s="5" t="inlineStr">
        <is>
          <t>H2 Production Efficiency</t>
        </is>
      </c>
      <c r="B8" s="5" t="inlineStr">
        <is>
          <t>C9</t>
        </is>
      </c>
      <c r="C8" s="5" t="n">
        <v>50</v>
      </c>
      <c r="D8" s="5" t="inlineStr">
        <is>
          <t>kWh/kg H2</t>
        </is>
      </c>
      <c r="E8" s="5" t="inlineStr">
        <is>
          <t>Electrolyzer (green H2)</t>
        </is>
      </c>
    </row>
    <row r="9">
      <c r="A9" s="5" t="inlineStr">
        <is>
          <t>Shaheen Multiplier</t>
        </is>
      </c>
      <c r="B9" s="5" t="inlineStr">
        <is>
          <t>C10</t>
        </is>
      </c>
      <c r="C9" s="5" t="n">
        <v>1.15</v>
      </c>
      <c r="D9" s="5" t="inlineStr">
        <is>
          <t>×</t>
        </is>
      </c>
      <c r="E9" s="5" t="inlineStr">
        <is>
          <t>Shaheen project (+1.8Mt)</t>
        </is>
      </c>
    </row>
    <row r="10">
      <c r="A10" s="5" t="inlineStr">
        <is>
          <t>Restructure 25% Multiplier</t>
        </is>
      </c>
      <c r="B10" s="5" t="inlineStr">
        <is>
          <t>C11</t>
        </is>
      </c>
      <c r="C10" s="5" t="n">
        <v>0.6909999999999999</v>
      </c>
      <c r="D10" s="5" t="inlineStr">
        <is>
          <t>×</t>
        </is>
      </c>
      <c r="E10" s="5" t="inlineStr">
        <is>
          <t>-30.9% capacity</t>
        </is>
      </c>
    </row>
    <row r="11">
      <c r="A11" s="5" t="inlineStr">
        <is>
          <t>Restructure 40% Multiplier</t>
        </is>
      </c>
      <c r="B11" s="5" t="inlineStr">
        <is>
          <t>C12</t>
        </is>
      </c>
      <c r="C11" s="5" t="n">
        <v>0.6</v>
      </c>
      <c r="D11" s="5" t="inlineStr">
        <is>
          <t>×</t>
        </is>
      </c>
      <c r="E11" s="5" t="inlineStr">
        <is>
          <t>-40% by 2040</t>
        </is>
      </c>
    </row>
    <row r="15">
      <c r="A15" s="6" t="inlineStr">
        <is>
          <t>NCC-H2 PATHWAY CALCULATIONS (2050)</t>
        </is>
      </c>
    </row>
    <row r="16">
      <c r="A16" s="4" t="inlineStr">
        <is>
          <t>Scenario</t>
        </is>
      </c>
      <c r="B16" s="4" t="inlineStr">
        <is>
          <t>Ethylene (kt)</t>
        </is>
      </c>
      <c r="C16" s="4" t="inlineStr">
        <is>
          <t>H2 Demand (kt)</t>
        </is>
      </c>
      <c r="D16" s="4" t="inlineStr">
        <is>
          <t>Elec for H2 (TWh)</t>
        </is>
      </c>
      <c r="E16" s="4" t="inlineStr">
        <is>
          <t>Formula Check</t>
        </is>
      </c>
    </row>
    <row r="17">
      <c r="A17" s="5" t="inlineStr">
        <is>
          <t>Shaheen (성장)</t>
        </is>
      </c>
      <c r="B17" s="5">
        <f>C6*C10</f>
        <v/>
      </c>
      <c r="C17" s="5">
        <f>B17*C7</f>
        <v/>
      </c>
      <c r="D17" s="5">
        <f>C17*C9/1000</f>
        <v/>
      </c>
      <c r="E17" s="5" t="inlineStr">
        <is>
          <t>H2=Ethylene×0.56</t>
        </is>
      </c>
    </row>
    <row r="18">
      <c r="A18" s="5" t="inlineStr">
        <is>
          <t>구조조정 25%</t>
        </is>
      </c>
      <c r="B18" s="5">
        <f>C6*C11</f>
        <v/>
      </c>
      <c r="C18" s="5">
        <f>B18*C7</f>
        <v/>
      </c>
      <c r="D18" s="5">
        <f>C18*C9/1000</f>
        <v/>
      </c>
      <c r="E18" s="5" t="inlineStr">
        <is>
          <t>H2=Ethylene×0.56</t>
        </is>
      </c>
    </row>
    <row r="19">
      <c r="A19" s="5" t="inlineStr">
        <is>
          <t>구조조정 40%</t>
        </is>
      </c>
      <c r="B19" s="5">
        <f>C6*C12</f>
        <v/>
      </c>
      <c r="C19" s="5">
        <f>B19*C7</f>
        <v/>
      </c>
      <c r="D19" s="5">
        <f>C19*C9/1000</f>
        <v/>
      </c>
      <c r="E19" s="5" t="inlineStr">
        <is>
          <t>H2=Ethylene×0.56</t>
        </is>
      </c>
    </row>
    <row r="22">
      <c r="A22" s="3" t="inlineStr">
        <is>
          <t>NCC-ELECTRICITY PATHWAY CALCULATIONS (2050)</t>
        </is>
      </c>
    </row>
    <row r="23">
      <c r="A23" s="4" t="inlineStr">
        <is>
          <t>Scenario</t>
        </is>
      </c>
      <c r="B23" s="4" t="inlineStr">
        <is>
          <t>Ethylene (kt)</t>
        </is>
      </c>
      <c r="C23" s="4" t="inlineStr">
        <is>
          <t>Elec Demand (TWh)</t>
        </is>
      </c>
      <c r="D23" s="4" t="inlineStr">
        <is>
          <t>% Korea Grid (600 TWh)</t>
        </is>
      </c>
      <c r="E23" s="4" t="inlineStr">
        <is>
          <t>Formula Check</t>
        </is>
      </c>
    </row>
    <row r="24">
      <c r="A24" s="5" t="inlineStr">
        <is>
          <t>Shaheen (성장)</t>
        </is>
      </c>
      <c r="B24" s="5">
        <f>C6*C10</f>
        <v/>
      </c>
      <c r="C24" s="5">
        <f>B24*C8/1000</f>
        <v/>
      </c>
      <c r="D24" s="5">
        <f>C24/600*100</f>
        <v/>
      </c>
      <c r="E24" s="5" t="inlineStr">
        <is>
          <t>Elec=Ethylene×5.0/1000</t>
        </is>
      </c>
    </row>
    <row r="25">
      <c r="A25" s="5" t="inlineStr">
        <is>
          <t>구조조정 25%</t>
        </is>
      </c>
      <c r="B25" s="5">
        <f>C6*C11</f>
        <v/>
      </c>
      <c r="C25" s="5">
        <f>B25*C8/1000</f>
        <v/>
      </c>
      <c r="D25" s="5">
        <f>C25/600*100</f>
        <v/>
      </c>
      <c r="E25" s="5" t="inlineStr">
        <is>
          <t>Elec=Ethylene×5.0/1000</t>
        </is>
      </c>
    </row>
    <row r="26">
      <c r="A26" s="5" t="inlineStr">
        <is>
          <t>구조조정 40%</t>
        </is>
      </c>
      <c r="B26" s="5">
        <f>C6*C12</f>
        <v/>
      </c>
      <c r="C26" s="5">
        <f>B26*C8/1000</f>
        <v/>
      </c>
      <c r="D26" s="5">
        <f>C26/600*100</f>
        <v/>
      </c>
      <c r="E26" s="5" t="inlineStr">
        <is>
          <t>Elec=Ethylene×5.0/1000</t>
        </is>
      </c>
    </row>
    <row r="29">
      <c r="A29" s="7" t="inlineStr">
        <is>
          <t>SUMMARY: VERIFIED RESULTS (Shaheen 2050)</t>
        </is>
      </c>
    </row>
    <row r="30">
      <c r="A30" s="4" t="inlineStr">
        <is>
          <t>Pathway</t>
        </is>
      </c>
      <c r="B30" s="4" t="inlineStr">
        <is>
          <t>Energy Demand</t>
        </is>
      </c>
      <c r="C30" s="4" t="inlineStr">
        <is>
          <t>Unit</t>
        </is>
      </c>
      <c r="D30" s="4" t="inlineStr">
        <is>
          <t>Verified Value</t>
        </is>
      </c>
      <c r="E30" s="4" t="inlineStr">
        <is>
          <t>Formula</t>
        </is>
      </c>
    </row>
    <row r="31">
      <c r="A31" s="5" t="inlineStr">
        <is>
          <t>NCC-H2</t>
        </is>
      </c>
      <c r="B31" s="5" t="inlineStr">
        <is>
          <t>H2 Infrastructure</t>
        </is>
      </c>
      <c r="C31" s="5" t="inlineStr">
        <is>
          <t>kt/year</t>
        </is>
      </c>
      <c r="D31" s="5" t="n">
        <v>7703.5</v>
      </c>
      <c r="E31" s="5">
        <f>11962×1.15×0.56</f>
        <v/>
      </c>
    </row>
    <row r="32">
      <c r="A32" s="5" t="inlineStr">
        <is>
          <t>NCC-H2</t>
        </is>
      </c>
      <c r="B32" s="5" t="inlineStr">
        <is>
          <t>Electricity for H2</t>
        </is>
      </c>
      <c r="C32" s="5" t="inlineStr">
        <is>
          <t>TWh/year</t>
        </is>
      </c>
      <c r="D32" s="5" t="n">
        <v>385.2</v>
      </c>
      <c r="E32" s="5">
        <f>7703.5×50/1000</f>
        <v/>
      </c>
    </row>
    <row r="33">
      <c r="A33" s="5" t="inlineStr">
        <is>
          <t>NCC-Electricity</t>
        </is>
      </c>
      <c r="B33" s="5" t="inlineStr">
        <is>
          <t>Direct Electricity</t>
        </is>
      </c>
      <c r="C33" s="5" t="inlineStr">
        <is>
          <t>TWh/year</t>
        </is>
      </c>
      <c r="D33" s="5" t="n">
        <v>68.8</v>
      </c>
      <c r="E33" s="5">
        <f>11962×1.15×5.0/1000</f>
        <v/>
      </c>
    </row>
    <row r="36">
      <c r="A36" s="8" t="inlineStr">
        <is>
          <t>NOTE: Model Internal Calculation</t>
        </is>
      </c>
    </row>
    <row r="37">
      <c r="A37" t="inlineStr">
        <is>
          <t>The model internally calculates energy based on MtCO2 abated (not direct ethylene):</t>
        </is>
      </c>
    </row>
    <row r="38">
      <c r="A38" t="inlineStr">
        <is>
          <t xml:space="preserve">  H2 = abated_MtCO2 × (1e6 / 1.74) × 0.56 / 1000</t>
        </is>
      </c>
    </row>
    <row r="39">
      <c r="A39" t="inlineStr">
        <is>
          <t xml:space="preserve">  Elec = abated_MtCO2 × 5300 MWh/MtCO2 / 1000</t>
        </is>
      </c>
    </row>
    <row r="40">
      <c r="A40" t="inlineStr"/>
    </row>
    <row r="41">
      <c r="A41" t="inlineStr">
        <is>
          <t>For practical purposes, the DIRECT ETHYLENE method above gives equivalent results:</t>
        </is>
      </c>
    </row>
    <row r="42">
      <c r="A42" t="inlineStr">
        <is>
          <t xml:space="preserve">  H2 = Ethylene(kt) × 0.56 = 7,703.5 kt ✓</t>
        </is>
      </c>
    </row>
    <row r="43">
      <c r="A43" t="inlineStr">
        <is>
          <t xml:space="preserve">  Elec = Ethylene(kt) × 5.0 / 1000 = 68.8 TWh 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Regional Energy Demand (Shaheen 2050 - NCC-H2)</t>
        </is>
      </c>
    </row>
    <row r="3">
      <c r="A3" s="2" t="inlineStr">
        <is>
          <t>REGIONAL ETHYLENE CAPACITY &amp; H2 DEMAND</t>
        </is>
      </c>
    </row>
    <row r="4">
      <c r="A4" s="4" t="inlineStr">
        <is>
          <t>Complex</t>
        </is>
      </c>
      <c r="B4" s="4" t="inlineStr">
        <is>
          <t>Base Capacity (kt)</t>
        </is>
      </c>
      <c r="C4" s="4" t="inlineStr">
        <is>
          <t>Shaheen 2050 (kt)</t>
        </is>
      </c>
      <c r="D4" s="4" t="inlineStr">
        <is>
          <t>Share (%)</t>
        </is>
      </c>
      <c r="E4" s="4" t="inlineStr">
        <is>
          <t>H2 Demand (kt)</t>
        </is>
      </c>
      <c r="F4" s="4" t="inlineStr">
        <is>
          <t>H2 Share (%)</t>
        </is>
      </c>
    </row>
    <row r="5">
      <c r="A5" s="5" t="inlineStr">
        <is>
          <t>Ulsan Complex</t>
        </is>
      </c>
      <c r="B5" s="5" t="n">
        <v>1742</v>
      </c>
      <c r="C5" s="5">
        <f>B5*1.15</f>
        <v/>
      </c>
      <c r="D5" s="5">
        <f>B5/B9*100</f>
        <v/>
      </c>
      <c r="E5" s="5">
        <f>C5*0.56</f>
        <v/>
      </c>
      <c r="F5" s="5">
        <f>E5/E9*100</f>
        <v/>
      </c>
    </row>
    <row r="6">
      <c r="A6" s="5" t="inlineStr">
        <is>
          <t>Yeosu Complex</t>
        </is>
      </c>
      <c r="B6" s="5" t="n">
        <v>5445</v>
      </c>
      <c r="C6" s="5">
        <f>B6*1.15</f>
        <v/>
      </c>
      <c r="D6" s="5">
        <f>B6/B9*100</f>
        <v/>
      </c>
      <c r="E6" s="5">
        <f>C6*0.56</f>
        <v/>
      </c>
      <c r="F6" s="5">
        <f>E6/E9*100</f>
        <v/>
      </c>
    </row>
    <row r="7">
      <c r="A7" s="5" t="inlineStr">
        <is>
          <t>Daesan Complex</t>
        </is>
      </c>
      <c r="B7" s="5" t="n">
        <v>4775</v>
      </c>
      <c r="C7" s="5">
        <f>B7*1.15</f>
        <v/>
      </c>
      <c r="D7" s="5">
        <f>B7/B9*100</f>
        <v/>
      </c>
      <c r="E7" s="5">
        <f>C7*0.56</f>
        <v/>
      </c>
      <c r="F7" s="5">
        <f>E7/E9*100</f>
        <v/>
      </c>
    </row>
    <row r="8">
      <c r="A8" s="5" t="inlineStr">
        <is>
          <t>Other Regions</t>
        </is>
      </c>
      <c r="B8" s="5" t="n">
        <v>0</v>
      </c>
      <c r="C8" s="5">
        <f>B8*1.15</f>
        <v/>
      </c>
      <c r="D8" s="5">
        <f>B8/B9*100</f>
        <v/>
      </c>
      <c r="E8" s="5">
        <f>C8*0.56</f>
        <v/>
      </c>
      <c r="F8" s="5">
        <f>E8/E9*100</f>
        <v/>
      </c>
    </row>
    <row r="9">
      <c r="A9" s="9" t="inlineStr">
        <is>
          <t>TOTAL</t>
        </is>
      </c>
      <c r="B9" s="9">
        <f>SUM(B5:B8)</f>
        <v/>
      </c>
      <c r="C9" s="9">
        <f>SUM(C5:C8)</f>
        <v/>
      </c>
      <c r="D9" s="9" t="inlineStr">
        <is>
          <t>100%</t>
        </is>
      </c>
      <c r="E9" s="9">
        <f>SUM(E5:E8)</f>
        <v/>
      </c>
      <c r="F9" s="9" t="inlineStr">
        <is>
          <t>100%</t>
        </is>
      </c>
    </row>
    <row r="11">
      <c r="A11" t="inlineStr">
        <is>
          <t>VERIFICATION:</t>
        </is>
      </c>
    </row>
    <row r="12">
      <c r="A12" t="inlineStr">
        <is>
          <t>Base ethylene: 11,962 kt (from 248 facilities)</t>
        </is>
      </c>
    </row>
    <row r="13">
      <c r="A13" t="inlineStr">
        <is>
          <t>Shaheen ethylene: 13,756 kt</t>
        </is>
      </c>
    </row>
    <row r="14">
      <c r="A14" t="inlineStr">
        <is>
          <t>Total H2 demand: 7,703.5 kt ✓ (matches 7,703.5 kt)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6 Scenario Summary (3 Production × 2 Technology)</t>
        </is>
      </c>
    </row>
    <row r="3">
      <c r="A3" s="4" t="inlineStr">
        <is>
          <t>Scenario</t>
        </is>
      </c>
      <c r="B3" s="4" t="inlineStr">
        <is>
          <t>Production</t>
        </is>
      </c>
      <c r="C3" s="4" t="inlineStr">
        <is>
          <t>Technology</t>
        </is>
      </c>
      <c r="D3" s="4" t="inlineStr">
        <is>
          <t>Ethylene (kt)</t>
        </is>
      </c>
      <c r="E3" s="4" t="inlineStr">
        <is>
          <t>H2 (kt)</t>
        </is>
      </c>
      <c r="F3" s="4" t="inlineStr">
        <is>
          <t>Elec (TWh)</t>
        </is>
      </c>
      <c r="G3" s="4" t="inlineStr">
        <is>
          <t>Notes</t>
        </is>
      </c>
    </row>
    <row r="4">
      <c r="A4" s="5" t="inlineStr">
        <is>
          <t>S1</t>
        </is>
      </c>
      <c r="B4" s="5" t="inlineStr">
        <is>
          <t>Shaheen</t>
        </is>
      </c>
      <c r="C4" s="5" t="inlineStr">
        <is>
          <t>NCC-H2</t>
        </is>
      </c>
      <c r="D4" s="5">
        <f>11962*1.15</f>
        <v/>
      </c>
      <c r="E4" s="5">
        <f>D4*0.56</f>
        <v/>
      </c>
      <c r="F4" s="5">
        <f>E4*50/1000</f>
        <v/>
      </c>
      <c r="G4" s="5" t="inlineStr">
        <is>
          <t>H2 infrastructure</t>
        </is>
      </c>
    </row>
    <row r="5">
      <c r="A5" s="5" t="inlineStr">
        <is>
          <t>S2</t>
        </is>
      </c>
      <c r="B5" s="5" t="inlineStr">
        <is>
          <t>Shaheen</t>
        </is>
      </c>
      <c r="C5" s="5" t="inlineStr">
        <is>
          <t>NCC-Electricity</t>
        </is>
      </c>
      <c r="D5" s="5">
        <f>11962*1.15</f>
        <v/>
      </c>
      <c r="E5" s="5" t="inlineStr">
        <is>
          <t>-</t>
        </is>
      </c>
      <c r="F5" s="5">
        <f>D5*5.0/1000</f>
        <v/>
      </c>
      <c r="G5" s="5" t="inlineStr">
        <is>
          <t>Direct electricity</t>
        </is>
      </c>
    </row>
    <row r="6">
      <c r="A6" s="5" t="inlineStr">
        <is>
          <t>S3</t>
        </is>
      </c>
      <c r="B6" s="5" t="inlineStr">
        <is>
          <t>Restr. 25%</t>
        </is>
      </c>
      <c r="C6" s="5" t="inlineStr">
        <is>
          <t>NCC-H2</t>
        </is>
      </c>
      <c r="D6" s="5">
        <f>11962*0.691</f>
        <v/>
      </c>
      <c r="E6" s="5">
        <f>D6*0.56</f>
        <v/>
      </c>
      <c r="F6" s="5">
        <f>E6*50/1000</f>
        <v/>
      </c>
      <c r="G6" s="5" t="inlineStr">
        <is>
          <t>H2 infrastructure</t>
        </is>
      </c>
    </row>
    <row r="7">
      <c r="A7" s="5" t="inlineStr">
        <is>
          <t>S4</t>
        </is>
      </c>
      <c r="B7" s="5" t="inlineStr">
        <is>
          <t>Restr. 25%</t>
        </is>
      </c>
      <c r="C7" s="5" t="inlineStr">
        <is>
          <t>NCC-Electricity</t>
        </is>
      </c>
      <c r="D7" s="5">
        <f>11962*0.691</f>
        <v/>
      </c>
      <c r="E7" s="5" t="inlineStr">
        <is>
          <t>-</t>
        </is>
      </c>
      <c r="F7" s="5">
        <f>D7*5.0/1000</f>
        <v/>
      </c>
      <c r="G7" s="5" t="inlineStr">
        <is>
          <t>Direct electricity</t>
        </is>
      </c>
    </row>
    <row r="8">
      <c r="A8" s="5" t="inlineStr">
        <is>
          <t>S5</t>
        </is>
      </c>
      <c r="B8" s="5" t="inlineStr">
        <is>
          <t>Restr. 40%</t>
        </is>
      </c>
      <c r="C8" s="5" t="inlineStr">
        <is>
          <t>NCC-H2</t>
        </is>
      </c>
      <c r="D8" s="5">
        <f>11962*0.60</f>
        <v/>
      </c>
      <c r="E8" s="5">
        <f>D8*0.56</f>
        <v/>
      </c>
      <c r="F8" s="5">
        <f>E8*50/1000</f>
        <v/>
      </c>
      <c r="G8" s="5" t="inlineStr">
        <is>
          <t>H2 infrastructure</t>
        </is>
      </c>
    </row>
    <row r="9">
      <c r="A9" s="5" t="inlineStr">
        <is>
          <t>S6</t>
        </is>
      </c>
      <c r="B9" s="5" t="inlineStr">
        <is>
          <t>Restr. 40%</t>
        </is>
      </c>
      <c r="C9" s="5" t="inlineStr">
        <is>
          <t>NCC-Electricity</t>
        </is>
      </c>
      <c r="D9" s="5">
        <f>11962*0.60</f>
        <v/>
      </c>
      <c r="E9" s="5" t="inlineStr">
        <is>
          <t>-</t>
        </is>
      </c>
      <c r="F9" s="5">
        <f>D9*5.0/1000</f>
        <v/>
      </c>
      <c r="G9" s="5" t="inlineStr">
        <is>
          <t>Direct electricity</t>
        </is>
      </c>
    </row>
    <row r="12">
      <c r="A12" t="inlineStr">
        <is>
          <t>KEY FINDINGS:</t>
        </is>
      </c>
    </row>
    <row r="13">
      <c r="A13" t="inlineStr">
        <is>
          <t>• NCC-H2 requires massive H2 infrastructure (up to 7,703 kt/year)</t>
        </is>
      </c>
    </row>
    <row r="14">
      <c r="A14" t="inlineStr">
        <is>
          <t>• NCC-Electricity requires direct grid expansion (up to 68.8 TWh/year)</t>
        </is>
      </c>
    </row>
    <row r="15">
      <c r="A15" t="inlineStr">
        <is>
          <t>• NCC-H2 also needs electricity for H2 production (up to 385 TWh/year)</t>
        </is>
      </c>
    </row>
    <row r="16">
      <c r="A16" t="inlineStr">
        <is>
          <t>• Production reduction significantly reduces energy infrastructure needs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5" customWidth="1" min="3" max="3"/>
    <col width="35" customWidth="1" min="4" max="4"/>
  </cols>
  <sheetData>
    <row r="1">
      <c r="A1" s="1" t="inlineStr">
        <is>
          <t>Literature References</t>
        </is>
      </c>
    </row>
    <row r="3">
      <c r="A3" s="4" t="inlineStr">
        <is>
          <t>Parameter</t>
        </is>
      </c>
      <c r="B3" s="4" t="inlineStr">
        <is>
          <t>Value</t>
        </is>
      </c>
      <c r="C3" s="4" t="inlineStr">
        <is>
          <t>Reference</t>
        </is>
      </c>
      <c r="D3" s="4" t="inlineStr">
        <is>
          <t>DOI/Source</t>
        </is>
      </c>
    </row>
    <row r="4">
      <c r="A4" s="5" t="inlineStr">
        <is>
          <t>H2 Intensity</t>
        </is>
      </c>
      <c r="B4" s="5" t="inlineStr">
        <is>
          <t>0.56 ton/ton C2H4</t>
        </is>
      </c>
      <c r="C4" s="5" t="inlineStr">
        <is>
          <t>Chen 2024, Gupta 2023, Park 2022</t>
        </is>
      </c>
      <c r="D4" s="5" t="inlineStr">
        <is>
          <t>Literature mean (range 0.50-0.65)</t>
        </is>
      </c>
    </row>
    <row r="5">
      <c r="A5" s="5" t="inlineStr">
        <is>
          <t>Electricity Intensity</t>
        </is>
      </c>
      <c r="B5" s="5" t="inlineStr">
        <is>
          <t>5.0 MWh/ton C2H4</t>
        </is>
      </c>
      <c r="C5" s="5" t="inlineStr">
        <is>
          <t>BASF/SABIC/Linde 2024</t>
        </is>
      </c>
      <c r="D5" s="5" t="inlineStr">
        <is>
          <t>Commercial pilot data</t>
        </is>
      </c>
    </row>
    <row r="6">
      <c r="A6" s="5" t="inlineStr">
        <is>
          <t>NCC-H2 CAPEX</t>
        </is>
      </c>
      <c r="B6" s="5" t="inlineStr">
        <is>
          <t>$1,550/t-C2H4/yr</t>
        </is>
      </c>
      <c r="C6" s="5" t="inlineStr">
        <is>
          <t>Thunder Said Energy 2023</t>
        </is>
      </c>
      <c r="D6" s="5" t="inlineStr">
        <is>
          <t>thundersaidenergy.com</t>
        </is>
      </c>
    </row>
    <row r="7">
      <c r="A7" s="5" t="inlineStr">
        <is>
          <t>NCC-Elec CAPEX</t>
        </is>
      </c>
      <c r="B7" s="5" t="inlineStr">
        <is>
          <t>$1,500/t-C2H4/yr</t>
        </is>
      </c>
      <c r="C7" s="5" t="inlineStr">
        <is>
          <t>Toribio-Ramirez et al. 2025</t>
        </is>
      </c>
      <c r="D7" s="5" t="inlineStr">
        <is>
          <t>Joule (2025)</t>
        </is>
      </c>
    </row>
    <row r="8">
      <c r="A8" s="5" t="inlineStr">
        <is>
          <t>H2 Production</t>
        </is>
      </c>
      <c r="B8" s="5" t="inlineStr">
        <is>
          <t>50 kWh/kg H2</t>
        </is>
      </c>
      <c r="C8" s="5" t="inlineStr">
        <is>
          <t>Electrolyzer efficiency</t>
        </is>
      </c>
      <c r="D8" s="5" t="inlineStr">
        <is>
          <t>Green H2 standard</t>
        </is>
      </c>
    </row>
    <row r="9">
      <c r="A9" s="5" t="inlineStr">
        <is>
          <t>Baseline Emission</t>
        </is>
      </c>
      <c r="B9" s="5" t="inlineStr">
        <is>
          <t>1.74 tCO2/ton C2H4</t>
        </is>
      </c>
      <c r="C9" s="5" t="inlineStr">
        <is>
          <t>Model calculation</t>
        </is>
      </c>
      <c r="D9" s="5" t="inlineStr">
        <is>
          <t>From 248 facility database</t>
        </is>
      </c>
    </row>
    <row r="10">
      <c r="A10" s="5" t="inlineStr">
        <is>
          <t>Korea Grid Capacity</t>
        </is>
      </c>
      <c r="B10" s="5" t="inlineStr">
        <is>
          <t>~600 TWh/year</t>
        </is>
      </c>
      <c r="C10" s="5" t="inlineStr">
        <is>
          <t>KEPCO statistics</t>
        </is>
      </c>
      <c r="D10" s="5" t="inlineStr">
        <is>
          <t>kepco.co.kr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2025-11-27T06:19:19Z</dcterms:created>
  <dcterms:modified xmlns:dcterms="http://purl.org/dc/terms/" xmlns:xsi="http://www.w3.org/2001/XMLSchema-instance" xsi:type="dcterms:W3CDTF">2025-11-27T06:19:19Z</dcterms:modified>
</cp:coreProperties>
</file>