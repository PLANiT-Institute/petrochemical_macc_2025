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ameters" sheetId="1" state="visible" r:id="rId1"/>
    <sheet xmlns:r="http://schemas.openxmlformats.org/officeDocument/2006/relationships" name="2_BTX_Facilities" sheetId="2" state="visible" r:id="rId2"/>
    <sheet xmlns:r="http://schemas.openxmlformats.org/officeDocument/2006/relationships" name="3_Utility_Facilities" sheetId="3" state="visible" r:id="rId3"/>
    <sheet xmlns:r="http://schemas.openxmlformats.org/officeDocument/2006/relationships" name="4_Heat_Pump_Analysis" sheetId="4" state="visible" r:id="rId4"/>
    <sheet xmlns:r="http://schemas.openxmlformats.org/officeDocument/2006/relationships" name="5_Regional_Distribution" sheetId="5" state="visible" r:id="rId5"/>
    <sheet xmlns:r="http://schemas.openxmlformats.org/officeDocument/2006/relationships" name="6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CC71"/>
        <bgColor rgb="002ECC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1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5" customWidth="1" min="4" max="4"/>
  </cols>
  <sheetData>
    <row r="1">
      <c r="A1" s="1" t="inlineStr">
        <is>
          <t>BTX &amp; Polymer Energy Transition Model</t>
        </is>
      </c>
      <c r="B1" s="1" t="inlineStr"/>
      <c r="C1" s="1" t="inlineStr"/>
      <c r="D1" s="1" t="inlineStr"/>
    </row>
    <row r="2">
      <c r="A2" s="1" t="inlineStr"/>
      <c r="B2" s="1" t="inlineStr"/>
      <c r="C2" s="1" t="inlineStr"/>
      <c r="D2" s="1" t="inlineStr"/>
    </row>
    <row r="3">
      <c r="A3" s="2">
        <f>== BASELINE CAPACITY (2025) ===</f>
        <v/>
      </c>
      <c r="B3" s="1" t="inlineStr"/>
      <c r="C3" s="1" t="inlineStr"/>
      <c r="D3" s="1" t="inlineStr"/>
    </row>
    <row r="4">
      <c r="A4" s="1" t="inlineStr">
        <is>
          <t>BTX Facilities</t>
        </is>
      </c>
      <c r="B4" s="3" t="n">
        <v>47</v>
      </c>
      <c r="C4" s="1" t="inlineStr">
        <is>
          <t>facilities</t>
        </is>
      </c>
      <c r="D4" s="1" t="inlineStr"/>
    </row>
    <row r="5">
      <c r="A5" s="1" t="inlineStr">
        <is>
          <t>BTX Total Capacity</t>
        </is>
      </c>
      <c r="B5" s="3" t="n">
        <v>25754</v>
      </c>
      <c r="C5" s="1" t="inlineStr">
        <is>
          <t>kt/year</t>
        </is>
      </c>
      <c r="D5" s="1" t="inlineStr"/>
    </row>
    <row r="6">
      <c r="A6" s="1" t="inlineStr">
        <is>
          <t>Utility Facilities</t>
        </is>
      </c>
      <c r="B6" s="3" t="n">
        <v>160</v>
      </c>
      <c r="C6" s="1" t="inlineStr">
        <is>
          <t>facilities</t>
        </is>
      </c>
      <c r="D6" s="1" t="inlineStr">
        <is>
          <t>Polymer, etc.</t>
        </is>
      </c>
    </row>
    <row r="7">
      <c r="A7" s="1" t="inlineStr">
        <is>
          <t>Utility Total Capacity</t>
        </is>
      </c>
      <c r="B7" s="3" t="n">
        <v>48645</v>
      </c>
      <c r="C7" s="1" t="inlineStr">
        <is>
          <t>kt/year</t>
        </is>
      </c>
      <c r="D7" s="1" t="inlineStr"/>
    </row>
    <row r="8">
      <c r="A8" s="1" t="inlineStr"/>
      <c r="B8" s="1" t="inlineStr"/>
      <c r="C8" s="1" t="inlineStr"/>
      <c r="D8" s="1" t="inlineStr"/>
    </row>
    <row r="9">
      <c r="A9" s="2">
        <f>== HEAT PUMP TECHNOLOGY ===</f>
        <v/>
      </c>
      <c r="B9" s="1" t="inlineStr"/>
      <c r="C9" s="1" t="inlineStr"/>
      <c r="D9" s="1" t="inlineStr"/>
    </row>
    <row r="10">
      <c r="A10" s="1" t="inlineStr">
        <is>
          <t>COP (Coefficient of Performance)</t>
        </is>
      </c>
      <c r="B10" s="3" t="n">
        <v>4</v>
      </c>
      <c r="C10" s="1" t="inlineStr"/>
      <c r="D10" s="1" t="inlineStr">
        <is>
          <t>IEA standard for &lt;165°C</t>
        </is>
      </c>
    </row>
    <row r="11">
      <c r="A11" s="1" t="inlineStr">
        <is>
          <t>CAPEX 2025</t>
        </is>
      </c>
      <c r="B11" s="3" t="n">
        <v>800</v>
      </c>
      <c r="C11" s="1" t="inlineStr">
        <is>
          <t>$/kW</t>
        </is>
      </c>
      <c r="D11" s="1" t="inlineStr"/>
    </row>
    <row r="12">
      <c r="A12" s="1" t="inlineStr">
        <is>
          <t>CAPEX 2030</t>
        </is>
      </c>
      <c r="B12" s="3" t="n">
        <v>640</v>
      </c>
      <c r="C12" s="1" t="inlineStr">
        <is>
          <t>$/kW</t>
        </is>
      </c>
      <c r="D12" s="1" t="inlineStr"/>
    </row>
    <row r="13">
      <c r="A13" s="1" t="inlineStr">
        <is>
          <t>CAPEX 2040</t>
        </is>
      </c>
      <c r="B13" s="3" t="n">
        <v>480</v>
      </c>
      <c r="C13" s="1" t="inlineStr">
        <is>
          <t>$/kW</t>
        </is>
      </c>
      <c r="D13" s="1" t="inlineStr"/>
    </row>
    <row r="14">
      <c r="A14" s="1" t="inlineStr">
        <is>
          <t>CAPEX 2050</t>
        </is>
      </c>
      <c r="B14" s="3" t="n">
        <v>400</v>
      </c>
      <c r="C14" s="1" t="inlineStr">
        <is>
          <t>$/kW</t>
        </is>
      </c>
      <c r="D14" s="1" t="inlineStr"/>
    </row>
    <row r="15">
      <c r="A15" s="1" t="inlineStr">
        <is>
          <t>OPEX (% of CAPEX)</t>
        </is>
      </c>
      <c r="B15" s="3" t="n">
        <v>3</v>
      </c>
      <c r="C15" s="1" t="inlineStr">
        <is>
          <t>%</t>
        </is>
      </c>
      <c r="D15" s="1" t="inlineStr"/>
    </row>
    <row r="16">
      <c r="A16" s="1" t="inlineStr">
        <is>
          <t>Lifetime</t>
        </is>
      </c>
      <c r="B16" s="3" t="n">
        <v>20</v>
      </c>
      <c r="C16" s="1" t="inlineStr">
        <is>
          <t>years</t>
        </is>
      </c>
      <c r="D16" s="1" t="inlineStr"/>
    </row>
    <row r="17">
      <c r="A17" s="1" t="inlineStr"/>
      <c r="B17" s="1" t="inlineStr"/>
      <c r="C17" s="1" t="inlineStr"/>
      <c r="D17" s="1" t="inlineStr"/>
    </row>
    <row r="18">
      <c r="A18" s="2">
        <f>== PROCESS HEAT REQUIREMENTS ===</f>
        <v/>
      </c>
      <c r="B18" s="1" t="inlineStr"/>
      <c r="C18" s="1" t="inlineStr"/>
      <c r="D18" s="1" t="inlineStr"/>
    </row>
    <row r="19">
      <c r="A19" s="1" t="inlineStr">
        <is>
          <t>BTX Heat Demand</t>
        </is>
      </c>
      <c r="B19" s="3" t="n">
        <v>2.5</v>
      </c>
      <c r="C19" s="1" t="inlineStr">
        <is>
          <t>GJ/ton product</t>
        </is>
      </c>
      <c r="D19" s="1" t="inlineStr">
        <is>
          <t>Literature estimate</t>
        </is>
      </c>
    </row>
    <row r="20">
      <c r="A20" s="1" t="inlineStr">
        <is>
          <t>Polymer Heat Demand</t>
        </is>
      </c>
      <c r="B20" s="3" t="n">
        <v>3</v>
      </c>
      <c r="C20" s="1" t="inlineStr">
        <is>
          <t>GJ/ton product</t>
        </is>
      </c>
      <c r="D20" s="1" t="inlineStr">
        <is>
          <t>Literature estimate</t>
        </is>
      </c>
    </row>
    <row r="21">
      <c r="A21" s="1" t="inlineStr"/>
      <c r="B21" s="1" t="inlineStr"/>
      <c r="C21" s="1" t="inlineStr"/>
      <c r="D21" s="1" t="inlineStr"/>
    </row>
    <row r="22">
      <c r="A22" s="2">
        <f>== GRID EMISSION FACTOR ===</f>
        <v/>
      </c>
      <c r="B22" s="1" t="inlineStr"/>
      <c r="C22" s="1" t="inlineStr"/>
      <c r="D22" s="1" t="inlineStr"/>
    </row>
    <row r="23">
      <c r="A23" s="1" t="inlineStr">
        <is>
          <t>Grid EF 2025</t>
        </is>
      </c>
      <c r="B23" s="3" t="n">
        <v>0.436</v>
      </c>
      <c r="C23" s="1" t="inlineStr">
        <is>
          <t>tCO2/MWh</t>
        </is>
      </c>
      <c r="D23" s="1" t="inlineStr">
        <is>
          <t>Korea 10th Power Plan</t>
        </is>
      </c>
    </row>
    <row r="24">
      <c r="A24" s="1" t="inlineStr">
        <is>
          <t>Grid EF 2030</t>
        </is>
      </c>
      <c r="B24" s="3" t="n">
        <v>0.35</v>
      </c>
      <c r="C24" s="1" t="inlineStr">
        <is>
          <t>tCO2/MWh</t>
        </is>
      </c>
      <c r="D24" s="1" t="inlineStr"/>
    </row>
    <row r="25">
      <c r="A25" s="1" t="inlineStr">
        <is>
          <t>Grid EF 2040</t>
        </is>
      </c>
      <c r="B25" s="3" t="n">
        <v>0.2</v>
      </c>
      <c r="C25" s="1" t="inlineStr">
        <is>
          <t>tCO2/MWh</t>
        </is>
      </c>
      <c r="D25" s="1" t="inlineStr"/>
    </row>
    <row r="26">
      <c r="A26" s="1" t="inlineStr">
        <is>
          <t>Grid EF 2050</t>
        </is>
      </c>
      <c r="B26" s="3" t="n">
        <v>0.07000000000000001</v>
      </c>
      <c r="C26" s="1" t="inlineStr">
        <is>
          <t>tCO2/MWh</t>
        </is>
      </c>
      <c r="D2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Product</t>
        </is>
      </c>
      <c r="B1" s="4" t="inlineStr">
        <is>
          <t>Company</t>
        </is>
      </c>
      <c r="C1" s="4" t="inlineStr">
        <is>
          <t>Location</t>
        </is>
      </c>
      <c r="D1" s="4" t="inlineStr">
        <is>
          <t>Complex</t>
        </is>
      </c>
      <c r="E1" s="4" t="inlineStr">
        <is>
          <t>Capacity (kt)</t>
        </is>
      </c>
      <c r="F1" s="4" t="inlineStr">
        <is>
          <t>Year Built</t>
        </is>
      </c>
      <c r="G1" s="4" t="inlineStr">
        <is>
          <t>Age (2025)</t>
        </is>
      </c>
    </row>
    <row r="2">
      <c r="A2" s="1" t="inlineStr">
        <is>
          <t>Benzene</t>
        </is>
      </c>
      <c r="B2" s="1" t="inlineStr">
        <is>
          <t>OCI</t>
        </is>
      </c>
      <c r="C2" s="1" t="inlineStr">
        <is>
          <t>Gwangyang</t>
        </is>
      </c>
      <c r="D2" s="1" t="inlineStr">
        <is>
          <t>Other Regions</t>
        </is>
      </c>
      <c r="E2" s="1" t="n">
        <v>200</v>
      </c>
      <c r="F2" s="1" t="n">
        <v>1995</v>
      </c>
      <c r="G2" s="1" t="n">
        <v>30</v>
      </c>
    </row>
    <row r="3">
      <c r="A3" s="1" t="inlineStr">
        <is>
          <t>Benzene</t>
        </is>
      </c>
      <c r="B3" s="1" t="inlineStr">
        <is>
          <t>Lotte Chemical</t>
        </is>
      </c>
      <c r="C3" s="1" t="inlineStr">
        <is>
          <t>Daesan</t>
        </is>
      </c>
      <c r="D3" s="1" t="inlineStr">
        <is>
          <t>Daesan Complex</t>
        </is>
      </c>
      <c r="E3" s="1" t="n">
        <v>240</v>
      </c>
      <c r="F3" s="1" t="n">
        <v>2011</v>
      </c>
      <c r="G3" s="1" t="n">
        <v>14</v>
      </c>
    </row>
    <row r="4">
      <c r="A4" s="1" t="inlineStr">
        <is>
          <t>Benzene</t>
        </is>
      </c>
      <c r="B4" s="1" t="inlineStr">
        <is>
          <t>HD Hyundai Chemical</t>
        </is>
      </c>
      <c r="C4" s="1" t="inlineStr">
        <is>
          <t>Daesan</t>
        </is>
      </c>
      <c r="D4" s="1" t="inlineStr">
        <is>
          <t>Daesan Complex</t>
        </is>
      </c>
      <c r="E4" s="1" t="n">
        <v>410</v>
      </c>
      <c r="F4" s="1" t="n">
        <v>2016</v>
      </c>
      <c r="G4" s="1" t="n">
        <v>9</v>
      </c>
    </row>
    <row r="5">
      <c r="A5" s="1" t="inlineStr">
        <is>
          <t>Benzene</t>
        </is>
      </c>
      <c r="B5" s="1" t="inlineStr">
        <is>
          <t>HDHyundai Oilbank</t>
        </is>
      </c>
      <c r="C5" s="1" t="inlineStr">
        <is>
          <t>Daesan</t>
        </is>
      </c>
      <c r="D5" s="1" t="inlineStr">
        <is>
          <t>Daesan Complex</t>
        </is>
      </c>
      <c r="E5" s="1" t="n">
        <v>338</v>
      </c>
      <c r="F5" s="1" t="n">
        <v>1997</v>
      </c>
      <c r="G5" s="1" t="n">
        <v>28</v>
      </c>
    </row>
    <row r="6">
      <c r="A6" s="1" t="inlineStr">
        <is>
          <t>Benzene</t>
        </is>
      </c>
      <c r="B6" s="1" t="inlineStr">
        <is>
          <t>LG Chem</t>
        </is>
      </c>
      <c r="C6" s="1" t="inlineStr">
        <is>
          <t>Daesan</t>
        </is>
      </c>
      <c r="D6" s="1" t="inlineStr">
        <is>
          <t>Daesan Complex</t>
        </is>
      </c>
      <c r="E6" s="1" t="n">
        <v>270</v>
      </c>
      <c r="F6" s="1" t="n">
        <v>1991</v>
      </c>
      <c r="G6" s="1" t="n">
        <v>34</v>
      </c>
    </row>
    <row r="7">
      <c r="A7" s="1" t="inlineStr">
        <is>
          <t>Benzene</t>
        </is>
      </c>
      <c r="B7" s="1" t="inlineStr">
        <is>
          <t>Hanwha TotalEnergies</t>
        </is>
      </c>
      <c r="C7" s="1" t="inlineStr">
        <is>
          <t>Daesan</t>
        </is>
      </c>
      <c r="D7" s="1" t="inlineStr">
        <is>
          <t>Daesan Complex</t>
        </is>
      </c>
      <c r="E7" s="1" t="n">
        <v>1267</v>
      </c>
      <c r="F7" s="1" t="n">
        <v>1991</v>
      </c>
      <c r="G7" s="1" t="n">
        <v>34</v>
      </c>
    </row>
    <row r="8">
      <c r="A8" s="1" t="inlineStr">
        <is>
          <t>Benzene</t>
        </is>
      </c>
      <c r="B8" s="1" t="inlineStr">
        <is>
          <t>Lotte Chemical</t>
        </is>
      </c>
      <c r="C8" s="1" t="inlineStr">
        <is>
          <t>Yeosu</t>
        </is>
      </c>
      <c r="D8" s="1" t="inlineStr">
        <is>
          <t>Yeosu Complex</t>
        </is>
      </c>
      <c r="E8" s="1" t="n">
        <v>235</v>
      </c>
      <c r="F8" s="1" t="n">
        <v>1992</v>
      </c>
      <c r="G8" s="1" t="n">
        <v>33</v>
      </c>
    </row>
    <row r="9">
      <c r="A9" s="1" t="inlineStr">
        <is>
          <t>Benzene</t>
        </is>
      </c>
      <c r="B9" s="1" t="inlineStr">
        <is>
          <t>LG Chem</t>
        </is>
      </c>
      <c r="C9" s="1" t="inlineStr">
        <is>
          <t>Yeosu</t>
        </is>
      </c>
      <c r="D9" s="1" t="inlineStr">
        <is>
          <t>Yeosu Complex</t>
        </is>
      </c>
      <c r="E9" s="1" t="n">
        <v>630</v>
      </c>
      <c r="F9" s="1" t="n">
        <v>1992</v>
      </c>
      <c r="G9" s="1" t="n">
        <v>33</v>
      </c>
    </row>
    <row r="10">
      <c r="A10" s="1" t="inlineStr">
        <is>
          <t>Benzene</t>
        </is>
      </c>
      <c r="B10" s="1" t="inlineStr">
        <is>
          <t>Yeochon NCC</t>
        </is>
      </c>
      <c r="C10" s="1" t="inlineStr">
        <is>
          <t>Yeosu</t>
        </is>
      </c>
      <c r="D10" s="1" t="inlineStr">
        <is>
          <t>Yeosu Complex</t>
        </is>
      </c>
      <c r="E10" s="1" t="n">
        <v>457</v>
      </c>
      <c r="F10" s="1" t="n">
        <v>1979</v>
      </c>
      <c r="G10" s="1" t="n">
        <v>46</v>
      </c>
    </row>
    <row r="11">
      <c r="A11" s="1" t="inlineStr">
        <is>
          <t>Benzene</t>
        </is>
      </c>
      <c r="B11" s="1" t="inlineStr">
        <is>
          <t>GS Caltex</t>
        </is>
      </c>
      <c r="C11" s="1" t="inlineStr">
        <is>
          <t>Yeosu</t>
        </is>
      </c>
      <c r="D11" s="1" t="inlineStr">
        <is>
          <t>Yeosu Complex</t>
        </is>
      </c>
      <c r="E11" s="1" t="n">
        <v>930</v>
      </c>
      <c r="F11" s="1" t="n">
        <v>1990</v>
      </c>
      <c r="G11" s="1" t="n">
        <v>35</v>
      </c>
    </row>
    <row r="12">
      <c r="A12" s="1" t="inlineStr">
        <is>
          <t>Benzene</t>
        </is>
      </c>
      <c r="B12" s="1" t="inlineStr">
        <is>
          <t>Daehan Oil Chemical</t>
        </is>
      </c>
      <c r="C12" s="1" t="inlineStr">
        <is>
          <t>Onsan</t>
        </is>
      </c>
      <c r="D12" s="1" t="inlineStr">
        <is>
          <t>Ulsan Complex</t>
        </is>
      </c>
      <c r="E12" s="1" t="n">
        <v>210</v>
      </c>
      <c r="F12" s="1" t="n">
        <v>2008</v>
      </c>
      <c r="G12" s="1" t="n">
        <v>17</v>
      </c>
    </row>
    <row r="13">
      <c r="A13" s="1" t="inlineStr">
        <is>
          <t>Benzene</t>
        </is>
      </c>
      <c r="B13" s="1" t="inlineStr">
        <is>
          <t>S-Oil</t>
        </is>
      </c>
      <c r="C13" s="1" t="inlineStr">
        <is>
          <t>Onsan</t>
        </is>
      </c>
      <c r="D13" s="1" t="inlineStr">
        <is>
          <t>Ulsan Complex</t>
        </is>
      </c>
      <c r="E13" s="1" t="n">
        <v>672</v>
      </c>
      <c r="F13" s="1" t="n">
        <v>1991</v>
      </c>
      <c r="G13" s="1" t="n">
        <v>34</v>
      </c>
    </row>
    <row r="14">
      <c r="A14" s="1" t="inlineStr">
        <is>
          <t>Benzene</t>
        </is>
      </c>
      <c r="B14" s="1" t="inlineStr">
        <is>
          <t>Lotte Chemical</t>
        </is>
      </c>
      <c r="C14" s="1" t="inlineStr">
        <is>
          <t>Ulsan</t>
        </is>
      </c>
      <c r="D14" s="1" t="inlineStr">
        <is>
          <t>Ulsan Complex</t>
        </is>
      </c>
      <c r="E14" s="1" t="n">
        <v>110</v>
      </c>
      <c r="F14" s="1" t="n">
        <v>1986</v>
      </c>
      <c r="G14" s="1" t="n">
        <v>39</v>
      </c>
    </row>
    <row r="15">
      <c r="A15" s="1" t="inlineStr">
        <is>
          <t>Benzene</t>
        </is>
      </c>
      <c r="B15" s="1" t="inlineStr">
        <is>
          <t>SK Geocentric</t>
        </is>
      </c>
      <c r="C15" s="1" t="inlineStr">
        <is>
          <t>Ulsan</t>
        </is>
      </c>
      <c r="D15" s="1" t="inlineStr">
        <is>
          <t>Ulsan Complex</t>
        </is>
      </c>
      <c r="E15" s="1" t="n">
        <v>603</v>
      </c>
      <c r="F15" s="1" t="n">
        <v>1972</v>
      </c>
      <c r="G15" s="1" t="n">
        <v>53</v>
      </c>
    </row>
    <row r="16">
      <c r="A16" s="1" t="inlineStr">
        <is>
          <t>Benzene</t>
        </is>
      </c>
      <c r="B16" s="1" t="inlineStr">
        <is>
          <t>Ulsan Aromatics</t>
        </is>
      </c>
      <c r="C16" s="1" t="inlineStr">
        <is>
          <t>Ulsan</t>
        </is>
      </c>
      <c r="D16" s="1" t="inlineStr">
        <is>
          <t>Ulsan Complex</t>
        </is>
      </c>
      <c r="E16" s="1" t="n">
        <v>600</v>
      </c>
      <c r="F16" s="1" t="n">
        <v>2014</v>
      </c>
      <c r="G16" s="1" t="n">
        <v>11</v>
      </c>
    </row>
    <row r="17">
      <c r="A17" s="1" t="inlineStr">
        <is>
          <t>Benzene</t>
        </is>
      </c>
      <c r="B17" s="1" t="inlineStr">
        <is>
          <t>SK Incheon Petrochemical</t>
        </is>
      </c>
      <c r="C17" s="1" t="inlineStr">
        <is>
          <t>Incheon</t>
        </is>
      </c>
      <c r="D17" s="1" t="inlineStr">
        <is>
          <t>Other Regions</t>
        </is>
      </c>
      <c r="E17" s="1" t="n">
        <v>600</v>
      </c>
      <c r="F17" s="1" t="n">
        <v>2006</v>
      </c>
      <c r="G17" s="1" t="n">
        <v>19</v>
      </c>
    </row>
    <row r="18">
      <c r="A18" s="1" t="inlineStr">
        <is>
          <t>Toluene</t>
        </is>
      </c>
      <c r="B18" s="1" t="inlineStr">
        <is>
          <t>OCI</t>
        </is>
      </c>
      <c r="C18" s="1" t="inlineStr">
        <is>
          <t>Gwangyang</t>
        </is>
      </c>
      <c r="D18" s="1" t="inlineStr">
        <is>
          <t>Other Regions</t>
        </is>
      </c>
      <c r="E18" s="1" t="n">
        <v>40</v>
      </c>
      <c r="F18" s="1" t="n">
        <v>1995</v>
      </c>
      <c r="G18" s="1" t="n">
        <v>30</v>
      </c>
    </row>
    <row r="19">
      <c r="A19" s="1" t="inlineStr">
        <is>
          <t>Toluene</t>
        </is>
      </c>
      <c r="B19" s="1" t="inlineStr">
        <is>
          <t>Lotte Chemical</t>
        </is>
      </c>
      <c r="C19" s="1" t="inlineStr">
        <is>
          <t>Daesan</t>
        </is>
      </c>
      <c r="D19" s="1" t="inlineStr">
        <is>
          <t>Daesan Complex</t>
        </is>
      </c>
      <c r="E19" s="1" t="n">
        <v>120</v>
      </c>
      <c r="F19" s="1" t="n">
        <v>2011</v>
      </c>
      <c r="G19" s="1" t="n">
        <v>14</v>
      </c>
    </row>
    <row r="20">
      <c r="A20" s="1" t="inlineStr">
        <is>
          <t>Toluene</t>
        </is>
      </c>
      <c r="B20" s="1" t="inlineStr">
        <is>
          <t>LG Chem</t>
        </is>
      </c>
      <c r="C20" s="1" t="inlineStr">
        <is>
          <t>Daesan</t>
        </is>
      </c>
      <c r="D20" s="1" t="inlineStr">
        <is>
          <t>Daesan Complex</t>
        </is>
      </c>
      <c r="E20" s="1" t="n">
        <v>100</v>
      </c>
      <c r="F20" s="1" t="n">
        <v>2011</v>
      </c>
      <c r="G20" s="1" t="n">
        <v>14</v>
      </c>
    </row>
    <row r="21">
      <c r="A21" s="1" t="inlineStr">
        <is>
          <t>Toluene</t>
        </is>
      </c>
      <c r="B21" s="1" t="inlineStr">
        <is>
          <t>Lotte Chemical</t>
        </is>
      </c>
      <c r="C21" s="1" t="inlineStr">
        <is>
          <t>Yeosu</t>
        </is>
      </c>
      <c r="D21" s="1" t="inlineStr">
        <is>
          <t>Yeosu Complex</t>
        </is>
      </c>
      <c r="E21" s="1" t="n">
        <v>220</v>
      </c>
      <c r="F21" s="1" t="n">
        <v>1992</v>
      </c>
      <c r="G21" s="1" t="n">
        <v>33</v>
      </c>
    </row>
    <row r="22">
      <c r="A22" s="1" t="inlineStr">
        <is>
          <t>Toluene</t>
        </is>
      </c>
      <c r="B22" s="1" t="inlineStr">
        <is>
          <t>LG Chem</t>
        </is>
      </c>
      <c r="C22" s="1" t="inlineStr">
        <is>
          <t>Yeosu</t>
        </is>
      </c>
      <c r="D22" s="1" t="inlineStr">
        <is>
          <t>Yeosu Complex</t>
        </is>
      </c>
      <c r="E22" s="1" t="n">
        <v>112</v>
      </c>
      <c r="F22" s="1" t="n">
        <v>1992</v>
      </c>
      <c r="G22" s="1" t="n">
        <v>33</v>
      </c>
    </row>
    <row r="23">
      <c r="A23" s="1" t="inlineStr">
        <is>
          <t>Toluene</t>
        </is>
      </c>
      <c r="B23" s="1" t="inlineStr">
        <is>
          <t>Yeochon NCC</t>
        </is>
      </c>
      <c r="C23" s="1" t="inlineStr">
        <is>
          <t>Yeosu</t>
        </is>
      </c>
      <c r="D23" s="1" t="inlineStr">
        <is>
          <t>Yeosu Complex</t>
        </is>
      </c>
      <c r="E23" s="1" t="n">
        <v>282</v>
      </c>
      <c r="F23" s="1" t="n">
        <v>1979</v>
      </c>
      <c r="G23" s="1" t="n">
        <v>46</v>
      </c>
    </row>
    <row r="24">
      <c r="A24" s="1" t="inlineStr">
        <is>
          <t>Toluene</t>
        </is>
      </c>
      <c r="B24" s="1" t="inlineStr">
        <is>
          <t>GS Caltex</t>
        </is>
      </c>
      <c r="C24" s="1" t="inlineStr">
        <is>
          <t>Yeosu</t>
        </is>
      </c>
      <c r="D24" s="1" t="inlineStr">
        <is>
          <t>Yeosu Complex</t>
        </is>
      </c>
      <c r="E24" s="1" t="n">
        <v>170</v>
      </c>
      <c r="F24" s="1" t="n">
        <v>1990</v>
      </c>
      <c r="G24" s="1" t="n">
        <v>35</v>
      </c>
    </row>
    <row r="25">
      <c r="A25" s="1" t="inlineStr">
        <is>
          <t>Toluene</t>
        </is>
      </c>
      <c r="B25" s="1" t="inlineStr">
        <is>
          <t>Daehan Oil Chemical</t>
        </is>
      </c>
      <c r="C25" s="1" t="inlineStr">
        <is>
          <t>Onsan</t>
        </is>
      </c>
      <c r="D25" s="1" t="inlineStr">
        <is>
          <t>Ulsan Complex</t>
        </is>
      </c>
      <c r="E25" s="1" t="n">
        <v>78</v>
      </c>
      <c r="F25" s="1" t="n">
        <v>2008</v>
      </c>
      <c r="G25" s="1" t="n">
        <v>17</v>
      </c>
    </row>
    <row r="26">
      <c r="A26" s="1" t="inlineStr">
        <is>
          <t>Toluene</t>
        </is>
      </c>
      <c r="B26" s="1" t="inlineStr">
        <is>
          <t>S-Oil</t>
        </is>
      </c>
      <c r="C26" s="1" t="inlineStr">
        <is>
          <t>Onsan</t>
        </is>
      </c>
      <c r="D26" s="1" t="inlineStr">
        <is>
          <t>Ulsan Complex</t>
        </is>
      </c>
      <c r="E26" s="1" t="n">
        <v>300</v>
      </c>
      <c r="F26" s="1" t="n">
        <v>1991</v>
      </c>
      <c r="G26" s="1" t="n">
        <v>34</v>
      </c>
    </row>
    <row r="27">
      <c r="A27" s="1" t="inlineStr">
        <is>
          <t>Toluene</t>
        </is>
      </c>
      <c r="B27" s="1" t="inlineStr">
        <is>
          <t>SK Geocentric</t>
        </is>
      </c>
      <c r="C27" s="1" t="inlineStr">
        <is>
          <t>Ulsan</t>
        </is>
      </c>
      <c r="D27" s="1" t="inlineStr">
        <is>
          <t>Ulsan Complex</t>
        </is>
      </c>
      <c r="E27" s="1" t="n">
        <v>1506</v>
      </c>
      <c r="F27" s="1" t="n">
        <v>2070</v>
      </c>
      <c r="G27" s="1" t="n">
        <v>-45</v>
      </c>
    </row>
    <row r="28">
      <c r="A28" s="1" t="inlineStr">
        <is>
          <t>Xylene</t>
        </is>
      </c>
      <c r="B28" s="1" t="inlineStr">
        <is>
          <t>Lotte Chemical</t>
        </is>
      </c>
      <c r="C28" s="1" t="inlineStr">
        <is>
          <t>Daesan</t>
        </is>
      </c>
      <c r="D28" s="1" t="inlineStr">
        <is>
          <t>Daesan Complex</t>
        </is>
      </c>
      <c r="E28" s="1" t="n">
        <v>60</v>
      </c>
      <c r="F28" s="1" t="n">
        <v>2011</v>
      </c>
      <c r="G28" s="1" t="n">
        <v>14</v>
      </c>
    </row>
    <row r="29">
      <c r="A29" s="1" t="inlineStr">
        <is>
          <t>Xylene</t>
        </is>
      </c>
      <c r="B29" s="1" t="inlineStr">
        <is>
          <t>HD Hyundai Chemical</t>
        </is>
      </c>
      <c r="C29" s="1" t="inlineStr">
        <is>
          <t>Daesan</t>
        </is>
      </c>
      <c r="D29" s="1" t="inlineStr">
        <is>
          <t>Daesan Complex</t>
        </is>
      </c>
      <c r="E29" s="1" t="n">
        <v>1350</v>
      </c>
      <c r="F29" s="1" t="n">
        <v>2016</v>
      </c>
      <c r="G29" s="1" t="n">
        <v>9</v>
      </c>
    </row>
    <row r="30">
      <c r="A30" s="1" t="inlineStr">
        <is>
          <t>Xylene</t>
        </is>
      </c>
      <c r="B30" s="1" t="inlineStr">
        <is>
          <t>LG Chem</t>
        </is>
      </c>
      <c r="C30" s="1" t="inlineStr">
        <is>
          <t>Daesan</t>
        </is>
      </c>
      <c r="D30" s="1" t="inlineStr">
        <is>
          <t>Daesan Complex</t>
        </is>
      </c>
      <c r="E30" s="1" t="n">
        <v>0</v>
      </c>
      <c r="F30" s="1" t="n">
        <v>2011</v>
      </c>
      <c r="G30" s="1" t="n">
        <v>14</v>
      </c>
    </row>
    <row r="31">
      <c r="A31" s="1" t="inlineStr">
        <is>
          <t>Xylene</t>
        </is>
      </c>
      <c r="B31" s="1" t="inlineStr">
        <is>
          <t>Lotte Chemical</t>
        </is>
      </c>
      <c r="C31" s="1" t="inlineStr">
        <is>
          <t>Yeosu</t>
        </is>
      </c>
      <c r="D31" s="1" t="inlineStr">
        <is>
          <t>Yeosu Complex</t>
        </is>
      </c>
      <c r="E31" s="1" t="n">
        <v>79</v>
      </c>
      <c r="F31" s="1" t="n">
        <v>1992</v>
      </c>
      <c r="G31" s="1" t="n">
        <v>33</v>
      </c>
    </row>
    <row r="32">
      <c r="A32" s="1" t="inlineStr">
        <is>
          <t>Xylene</t>
        </is>
      </c>
      <c r="B32" s="1" t="inlineStr">
        <is>
          <t>LG Chem</t>
        </is>
      </c>
      <c r="C32" s="1" t="inlineStr">
        <is>
          <t>Yeosu</t>
        </is>
      </c>
      <c r="D32" s="1" t="inlineStr">
        <is>
          <t>Yeosu Complex</t>
        </is>
      </c>
      <c r="E32" s="1" t="n">
        <v>60</v>
      </c>
      <c r="F32" s="1" t="n">
        <v>1992</v>
      </c>
      <c r="G32" s="1" t="n">
        <v>33</v>
      </c>
    </row>
    <row r="33">
      <c r="A33" s="1" t="inlineStr">
        <is>
          <t>Xylene</t>
        </is>
      </c>
      <c r="B33" s="1" t="inlineStr">
        <is>
          <t>Yeochon NCC</t>
        </is>
      </c>
      <c r="C33" s="1" t="inlineStr">
        <is>
          <t>Yeosu</t>
        </is>
      </c>
      <c r="D33" s="1" t="inlineStr">
        <is>
          <t>Yeosu Complex</t>
        </is>
      </c>
      <c r="E33" s="1" t="n">
        <v>204</v>
      </c>
      <c r="F33" s="1" t="n">
        <v>1979</v>
      </c>
      <c r="G33" s="1" t="n">
        <v>46</v>
      </c>
    </row>
    <row r="34">
      <c r="A34" s="1" t="inlineStr">
        <is>
          <t>Xylene</t>
        </is>
      </c>
      <c r="B34" s="1" t="inlineStr">
        <is>
          <t>GS Caltex</t>
        </is>
      </c>
      <c r="C34" s="1" t="inlineStr">
        <is>
          <t>Yeosu</t>
        </is>
      </c>
      <c r="D34" s="1" t="inlineStr">
        <is>
          <t>Yeosu Complex</t>
        </is>
      </c>
      <c r="E34" s="1" t="n">
        <v>350</v>
      </c>
      <c r="F34" s="1" t="n">
        <v>1990</v>
      </c>
      <c r="G34" s="1" t="n">
        <v>35</v>
      </c>
    </row>
    <row r="35">
      <c r="A35" s="1" t="inlineStr">
        <is>
          <t>Xylene</t>
        </is>
      </c>
      <c r="B35" s="1" t="inlineStr">
        <is>
          <t>Daehan Oil Chemical</t>
        </is>
      </c>
      <c r="C35" s="1" t="inlineStr">
        <is>
          <t>Onsan</t>
        </is>
      </c>
      <c r="D35" s="1" t="inlineStr">
        <is>
          <t>Ulsan Complex</t>
        </is>
      </c>
      <c r="E35" s="1" t="n">
        <v>47</v>
      </c>
      <c r="F35" s="1" t="n">
        <v>2008</v>
      </c>
      <c r="G35" s="1" t="n">
        <v>17</v>
      </c>
    </row>
    <row r="36">
      <c r="A36" s="1" t="inlineStr">
        <is>
          <t>Xylene</t>
        </is>
      </c>
      <c r="B36" s="1" t="inlineStr">
        <is>
          <t>S-Oil</t>
        </is>
      </c>
      <c r="C36" s="1" t="inlineStr">
        <is>
          <t>Onsan</t>
        </is>
      </c>
      <c r="D36" s="1" t="inlineStr">
        <is>
          <t>Ulsan Complex</t>
        </is>
      </c>
      <c r="E36" s="1" t="n">
        <v>450</v>
      </c>
      <c r="F36" s="1" t="n">
        <v>1991</v>
      </c>
      <c r="G36" s="1" t="n">
        <v>34</v>
      </c>
    </row>
    <row r="37">
      <c r="A37" s="1" t="inlineStr">
        <is>
          <t>Xylene</t>
        </is>
      </c>
      <c r="B37" s="1" t="inlineStr">
        <is>
          <t>SK Geocentric</t>
        </is>
      </c>
      <c r="C37" s="1" t="inlineStr">
        <is>
          <t>Ulsan</t>
        </is>
      </c>
      <c r="D37" s="1" t="inlineStr">
        <is>
          <t>Ulsan Complex</t>
        </is>
      </c>
      <c r="E37" s="1" t="n">
        <v>894</v>
      </c>
      <c r="F37" s="1" t="n">
        <v>2070</v>
      </c>
      <c r="G37" s="1" t="n">
        <v>-45</v>
      </c>
    </row>
    <row r="38">
      <c r="A38" s="1" t="inlineStr">
        <is>
          <t>O-X</t>
        </is>
      </c>
      <c r="B38" s="1" t="inlineStr">
        <is>
          <t>Lotte Chemical</t>
        </is>
      </c>
      <c r="C38" s="1" t="inlineStr">
        <is>
          <t>Ulsan</t>
        </is>
      </c>
      <c r="D38" s="1" t="inlineStr">
        <is>
          <t>Ulsan Complex</t>
        </is>
      </c>
      <c r="E38" s="1" t="n">
        <v>210</v>
      </c>
      <c r="F38" s="1" t="n">
        <v>1980</v>
      </c>
      <c r="G38" s="1" t="n">
        <v>45</v>
      </c>
    </row>
    <row r="39">
      <c r="A39" s="1" t="inlineStr">
        <is>
          <t>O-X</t>
        </is>
      </c>
      <c r="B39" s="1" t="inlineStr">
        <is>
          <t>SK Geocentric</t>
        </is>
      </c>
      <c r="C39" s="1" t="inlineStr">
        <is>
          <t>Ulsan</t>
        </is>
      </c>
      <c r="D39" s="1" t="inlineStr">
        <is>
          <t>Ulsan Complex</t>
        </is>
      </c>
      <c r="E39" s="1" t="n">
        <v>200</v>
      </c>
      <c r="F39" s="1" t="n">
        <v>1990</v>
      </c>
      <c r="G39" s="1" t="n">
        <v>35</v>
      </c>
    </row>
    <row r="40">
      <c r="A40" s="1" t="inlineStr">
        <is>
          <t>M-X</t>
        </is>
      </c>
      <c r="B40" s="1" t="inlineStr">
        <is>
          <t>Lotte Chemical</t>
        </is>
      </c>
      <c r="C40" s="1" t="inlineStr">
        <is>
          <t>Ulsan</t>
        </is>
      </c>
      <c r="D40" s="1" t="inlineStr">
        <is>
          <t>Ulsan Complex</t>
        </is>
      </c>
      <c r="E40" s="1" t="n">
        <v>360</v>
      </c>
      <c r="F40" s="1" t="n">
        <v>1998</v>
      </c>
      <c r="G40" s="1" t="n">
        <v>27</v>
      </c>
    </row>
    <row r="41">
      <c r="A41" s="1" t="inlineStr">
        <is>
          <t>P-X</t>
        </is>
      </c>
      <c r="B41" s="1" t="inlineStr">
        <is>
          <t>HDHyundai Oilbank</t>
        </is>
      </c>
      <c r="C41" s="1" t="inlineStr">
        <is>
          <t>Daesan</t>
        </is>
      </c>
      <c r="D41" s="1" t="inlineStr">
        <is>
          <t>Daesan Complex</t>
        </is>
      </c>
      <c r="E41" s="1" t="n">
        <v>1460</v>
      </c>
      <c r="F41" s="1" t="n">
        <v>1997</v>
      </c>
      <c r="G41" s="1" t="n">
        <v>28</v>
      </c>
    </row>
    <row r="42">
      <c r="A42" s="1" t="inlineStr">
        <is>
          <t>P-X</t>
        </is>
      </c>
      <c r="B42" s="1" t="inlineStr">
        <is>
          <t>Hanwha TotalEnergies</t>
        </is>
      </c>
      <c r="C42" s="1" t="inlineStr">
        <is>
          <t>Daesan</t>
        </is>
      </c>
      <c r="D42" s="1" t="inlineStr">
        <is>
          <t>Daesan Complex</t>
        </is>
      </c>
      <c r="E42" s="1" t="n">
        <v>2000</v>
      </c>
      <c r="F42" s="1" t="n">
        <v>1997</v>
      </c>
      <c r="G42" s="1" t="n">
        <v>28</v>
      </c>
    </row>
    <row r="43">
      <c r="A43" s="1" t="inlineStr">
        <is>
          <t>P-X</t>
        </is>
      </c>
      <c r="B43" s="1" t="inlineStr">
        <is>
          <t>GS Caltex</t>
        </is>
      </c>
      <c r="C43" s="1" t="inlineStr">
        <is>
          <t>Yeosu</t>
        </is>
      </c>
      <c r="D43" s="1" t="inlineStr">
        <is>
          <t>Yeosu Complex</t>
        </is>
      </c>
      <c r="E43" s="1" t="n">
        <v>1350</v>
      </c>
      <c r="F43" s="1" t="n">
        <v>1990</v>
      </c>
      <c r="G43" s="1" t="n">
        <v>35</v>
      </c>
    </row>
    <row r="44">
      <c r="A44" s="1" t="inlineStr">
        <is>
          <t>P-X</t>
        </is>
      </c>
      <c r="B44" s="1" t="inlineStr">
        <is>
          <t>S-Oil</t>
        </is>
      </c>
      <c r="C44" s="1" t="inlineStr">
        <is>
          <t>Onsan</t>
        </is>
      </c>
      <c r="D44" s="1" t="inlineStr">
        <is>
          <t>Ulsan Complex</t>
        </is>
      </c>
      <c r="E44" s="1" t="n">
        <v>1900</v>
      </c>
      <c r="F44" s="1" t="n">
        <v>1997</v>
      </c>
      <c r="G44" s="1" t="n">
        <v>28</v>
      </c>
    </row>
    <row r="45">
      <c r="A45" s="1" t="inlineStr">
        <is>
          <t>P-X</t>
        </is>
      </c>
      <c r="B45" s="1" t="inlineStr">
        <is>
          <t>Lotte Chemical</t>
        </is>
      </c>
      <c r="C45" s="1" t="inlineStr">
        <is>
          <t>Ulsan</t>
        </is>
      </c>
      <c r="D45" s="1" t="inlineStr">
        <is>
          <t>Ulsan Complex</t>
        </is>
      </c>
      <c r="E45" s="1" t="n">
        <v>750</v>
      </c>
      <c r="F45" s="1" t="n">
        <v>1980</v>
      </c>
      <c r="G45" s="1" t="n">
        <v>45</v>
      </c>
    </row>
    <row r="46">
      <c r="A46" s="1" t="inlineStr">
        <is>
          <t>P-X</t>
        </is>
      </c>
      <c r="B46" s="1" t="inlineStr">
        <is>
          <t>SK Geocentric</t>
        </is>
      </c>
      <c r="C46" s="1" t="inlineStr">
        <is>
          <t>Ulsan</t>
        </is>
      </c>
      <c r="D46" s="1" t="inlineStr">
        <is>
          <t>Ulsan Complex</t>
        </is>
      </c>
      <c r="E46" s="1" t="n">
        <v>830</v>
      </c>
      <c r="F46" s="1" t="n">
        <v>1990</v>
      </c>
      <c r="G46" s="1" t="n">
        <v>35</v>
      </c>
    </row>
    <row r="47">
      <c r="A47" s="1" t="inlineStr">
        <is>
          <t>P-X</t>
        </is>
      </c>
      <c r="B47" s="1" t="inlineStr">
        <is>
          <t>Ulsan Aromatics</t>
        </is>
      </c>
      <c r="C47" s="1" t="inlineStr">
        <is>
          <t>Ulsan</t>
        </is>
      </c>
      <c r="D47" s="1" t="inlineStr">
        <is>
          <t>Ulsan Complex</t>
        </is>
      </c>
      <c r="E47" s="1" t="n">
        <v>1000</v>
      </c>
      <c r="F47" s="1" t="n">
        <v>2014</v>
      </c>
      <c r="G47" s="1" t="n">
        <v>11</v>
      </c>
    </row>
    <row r="48">
      <c r="A48" s="1" t="inlineStr">
        <is>
          <t>P-X</t>
        </is>
      </c>
      <c r="B48" s="1" t="inlineStr">
        <is>
          <t>SK Incheon Petrochemical</t>
        </is>
      </c>
      <c r="C48" s="1" t="inlineStr">
        <is>
          <t>Incheon</t>
        </is>
      </c>
      <c r="D48" s="1" t="inlineStr">
        <is>
          <t>Other Regions</t>
        </is>
      </c>
      <c r="E48" s="1" t="n">
        <v>1500</v>
      </c>
      <c r="F48" s="1" t="n">
        <v>2014</v>
      </c>
      <c r="G48" s="1" t="n">
        <v>11</v>
      </c>
    </row>
    <row r="50">
      <c r="A50" s="5" t="inlineStr">
        <is>
          <t>TOTAL</t>
        </is>
      </c>
      <c r="E50" t="n">
        <v>25754</v>
      </c>
    </row>
    <row r="52">
      <c r="A52" s="5" t="inlineStr">
        <is>
          <t>By Location:</t>
        </is>
      </c>
    </row>
    <row r="53">
      <c r="A53" t="inlineStr">
        <is>
          <t>Daesan</t>
        </is>
      </c>
      <c r="E53" t="n">
        <v>7615</v>
      </c>
      <c r="F53" t="inlineStr">
        <is>
          <t>29.6%</t>
        </is>
      </c>
    </row>
    <row r="54">
      <c r="A54" t="inlineStr">
        <is>
          <t>Gwangyang</t>
        </is>
      </c>
      <c r="E54" t="n">
        <v>240</v>
      </c>
      <c r="F54" t="inlineStr">
        <is>
          <t>0.9%</t>
        </is>
      </c>
    </row>
    <row r="55">
      <c r="A55" t="inlineStr">
        <is>
          <t>Incheon</t>
        </is>
      </c>
      <c r="E55" t="n">
        <v>2100</v>
      </c>
      <c r="F55" t="inlineStr">
        <is>
          <t>8.2%</t>
        </is>
      </c>
    </row>
    <row r="56">
      <c r="A56" t="inlineStr">
        <is>
          <t>Onsan</t>
        </is>
      </c>
      <c r="E56" t="n">
        <v>3657</v>
      </c>
      <c r="F56" t="inlineStr">
        <is>
          <t>14.2%</t>
        </is>
      </c>
    </row>
    <row r="57">
      <c r="A57" t="inlineStr">
        <is>
          <t>Ulsan</t>
        </is>
      </c>
      <c r="E57" t="n">
        <v>7063</v>
      </c>
      <c r="F57" t="inlineStr">
        <is>
          <t>27.4%</t>
        </is>
      </c>
    </row>
    <row r="58">
      <c r="A58" t="inlineStr">
        <is>
          <t>Yeosu</t>
        </is>
      </c>
      <c r="E58" t="n">
        <v>5079</v>
      </c>
      <c r="F58" t="inlineStr">
        <is>
          <t>19.7%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Product</t>
        </is>
      </c>
      <c r="B1" s="4" t="inlineStr">
        <is>
          <t>Company</t>
        </is>
      </c>
      <c r="C1" s="4" t="inlineStr">
        <is>
          <t>Location</t>
        </is>
      </c>
      <c r="D1" s="4" t="inlineStr">
        <is>
          <t>Complex</t>
        </is>
      </c>
      <c r="E1" s="4" t="inlineStr">
        <is>
          <t>Capacity (kt)</t>
        </is>
      </c>
      <c r="F1" s="4" t="inlineStr">
        <is>
          <t>Year Built</t>
        </is>
      </c>
      <c r="G1" s="4" t="inlineStr">
        <is>
          <t>Age (2025)</t>
        </is>
      </c>
    </row>
    <row r="2">
      <c r="A2" s="1" t="inlineStr">
        <is>
          <t>SM</t>
        </is>
      </c>
      <c r="B2" s="1" t="inlineStr">
        <is>
          <t>Lotte Chemical</t>
        </is>
      </c>
      <c r="C2" s="1" t="inlineStr">
        <is>
          <t>Daesan</t>
        </is>
      </c>
      <c r="D2" s="1" t="inlineStr">
        <is>
          <t>Daesan Complex</t>
        </is>
      </c>
      <c r="E2" s="1" t="n">
        <v>350</v>
      </c>
      <c r="F2" s="1" t="n">
        <v>2005</v>
      </c>
      <c r="G2" s="1" t="n">
        <v>20</v>
      </c>
    </row>
    <row r="3">
      <c r="A3" s="1" t="inlineStr">
        <is>
          <t>SM</t>
        </is>
      </c>
      <c r="B3" s="1" t="inlineStr">
        <is>
          <t>LG Chem</t>
        </is>
      </c>
      <c r="C3" s="1" t="inlineStr">
        <is>
          <t>Daesan</t>
        </is>
      </c>
      <c r="D3" s="1" t="inlineStr">
        <is>
          <t>Daesan Complex</t>
        </is>
      </c>
      <c r="E3" s="1" t="n">
        <v>577</v>
      </c>
      <c r="F3" s="1" t="n">
        <v>2006</v>
      </c>
      <c r="G3" s="1" t="n">
        <v>19</v>
      </c>
    </row>
    <row r="4">
      <c r="A4" s="1" t="inlineStr">
        <is>
          <t>SM</t>
        </is>
      </c>
      <c r="B4" s="1" t="inlineStr">
        <is>
          <t>Hanwha TotalEnergies</t>
        </is>
      </c>
      <c r="C4" s="1" t="inlineStr">
        <is>
          <t>Daesan</t>
        </is>
      </c>
      <c r="D4" s="1" t="inlineStr">
        <is>
          <t>Daesan Complex</t>
        </is>
      </c>
      <c r="E4" s="1" t="n">
        <v>1071</v>
      </c>
      <c r="F4" s="1" t="n">
        <v>1991</v>
      </c>
      <c r="G4" s="1" t="n">
        <v>34</v>
      </c>
    </row>
    <row r="5">
      <c r="A5" s="1" t="inlineStr">
        <is>
          <t>SM</t>
        </is>
      </c>
      <c r="B5" s="1" t="inlineStr">
        <is>
          <t>Yeochon NCC</t>
        </is>
      </c>
      <c r="C5" s="1" t="inlineStr">
        <is>
          <t>Yeosu</t>
        </is>
      </c>
      <c r="D5" s="1" t="inlineStr">
        <is>
          <t>Yeosu Complex</t>
        </is>
      </c>
      <c r="E5" s="1" t="n">
        <v>351</v>
      </c>
      <c r="F5" s="1" t="n">
        <v>1986</v>
      </c>
      <c r="G5" s="1" t="n">
        <v>39</v>
      </c>
    </row>
    <row r="6">
      <c r="A6" s="1" t="inlineStr">
        <is>
          <t>SM</t>
        </is>
      </c>
      <c r="B6" s="1" t="inlineStr">
        <is>
          <t>SKpicglobal</t>
        </is>
      </c>
      <c r="C6" s="1" t="inlineStr">
        <is>
          <t>Ulsan</t>
        </is>
      </c>
      <c r="D6" s="1" t="inlineStr">
        <is>
          <t>Ulsan Complex</t>
        </is>
      </c>
      <c r="E6" s="1" t="n">
        <v>400</v>
      </c>
      <c r="F6" s="1" t="n">
        <v>1990</v>
      </c>
      <c r="G6" s="1" t="n">
        <v>35</v>
      </c>
    </row>
    <row r="7">
      <c r="A7" s="1" t="inlineStr">
        <is>
          <t>EDC</t>
        </is>
      </c>
      <c r="B7" s="1" t="inlineStr">
        <is>
          <t>LG Chem</t>
        </is>
      </c>
      <c r="C7" s="1" t="inlineStr">
        <is>
          <t>Yeosu</t>
        </is>
      </c>
      <c r="D7" s="1" t="inlineStr">
        <is>
          <t>Yeosu Complex</t>
        </is>
      </c>
      <c r="E7" s="1" t="n">
        <v>810</v>
      </c>
      <c r="F7" s="1" t="n">
        <v>1996</v>
      </c>
      <c r="G7" s="1" t="n">
        <v>29</v>
      </c>
    </row>
    <row r="8">
      <c r="A8" s="1" t="inlineStr">
        <is>
          <t>EDC</t>
        </is>
      </c>
      <c r="B8" s="1" t="inlineStr">
        <is>
          <t>Hanwha Solutions</t>
        </is>
      </c>
      <c r="C8" s="1" t="inlineStr">
        <is>
          <t>Yeosu</t>
        </is>
      </c>
      <c r="D8" s="1" t="inlineStr">
        <is>
          <t>Yeosu Complex</t>
        </is>
      </c>
      <c r="E8" s="1" t="n">
        <v>1586</v>
      </c>
      <c r="F8" s="1" t="n">
        <v>1980</v>
      </c>
      <c r="G8" s="1" t="n">
        <v>45</v>
      </c>
    </row>
    <row r="9">
      <c r="A9" s="1" t="inlineStr">
        <is>
          <t>EDC</t>
        </is>
      </c>
      <c r="B9" s="1" t="inlineStr">
        <is>
          <t>Hanwha Solutions</t>
        </is>
      </c>
      <c r="C9" s="1" t="inlineStr">
        <is>
          <t>Ulsan</t>
        </is>
      </c>
      <c r="D9" s="1" t="inlineStr">
        <is>
          <t>Ulsan Complex</t>
        </is>
      </c>
      <c r="E9" s="1" t="n">
        <v>385</v>
      </c>
      <c r="F9" s="1" t="n">
        <v>1991</v>
      </c>
      <c r="G9" s="1" t="n">
        <v>34</v>
      </c>
    </row>
    <row r="10">
      <c r="A10" s="1" t="inlineStr">
        <is>
          <t>VCM</t>
        </is>
      </c>
      <c r="B10" s="1" t="inlineStr">
        <is>
          <t>LG Chem</t>
        </is>
      </c>
      <c r="C10" s="1" t="inlineStr">
        <is>
          <t>Daesan</t>
        </is>
      </c>
      <c r="D10" s="1" t="inlineStr">
        <is>
          <t>Daesan Complex</t>
        </is>
      </c>
      <c r="E10" s="1" t="n">
        <v>230</v>
      </c>
      <c r="F10" s="1" t="n">
        <v>1997</v>
      </c>
      <c r="G10" s="1" t="n">
        <v>28</v>
      </c>
    </row>
    <row r="11">
      <c r="A11" s="1" t="inlineStr">
        <is>
          <t>VCM</t>
        </is>
      </c>
      <c r="B11" s="1" t="inlineStr">
        <is>
          <t>LG Chem</t>
        </is>
      </c>
      <c r="C11" s="1" t="inlineStr">
        <is>
          <t>Yeosu</t>
        </is>
      </c>
      <c r="D11" s="1" t="inlineStr">
        <is>
          <t>Yeosu Complex</t>
        </is>
      </c>
      <c r="E11" s="1" t="n">
        <v>720</v>
      </c>
      <c r="F11" s="1" t="n">
        <v>1990</v>
      </c>
      <c r="G11" s="1" t="n">
        <v>35</v>
      </c>
    </row>
    <row r="12">
      <c r="A12" s="1" t="inlineStr">
        <is>
          <t>VCM</t>
        </is>
      </c>
      <c r="B12" s="1" t="inlineStr">
        <is>
          <t>Hanwha Solutions</t>
        </is>
      </c>
      <c r="C12" s="1" t="inlineStr">
        <is>
          <t>Yeosu</t>
        </is>
      </c>
      <c r="D12" s="1" t="inlineStr">
        <is>
          <t>Yeosu Complex</t>
        </is>
      </c>
      <c r="E12" s="1" t="n">
        <v>583</v>
      </c>
      <c r="F12" s="1" t="n">
        <v>1979</v>
      </c>
      <c r="G12" s="1" t="n">
        <v>46</v>
      </c>
    </row>
    <row r="13">
      <c r="A13" s="1" t="inlineStr">
        <is>
          <t>VCM</t>
        </is>
      </c>
      <c r="B13" s="1" t="inlineStr">
        <is>
          <t>Hanwha Solutions</t>
        </is>
      </c>
      <c r="C13" s="1" t="inlineStr">
        <is>
          <t>Ulsan</t>
        </is>
      </c>
      <c r="D13" s="1" t="inlineStr">
        <is>
          <t>Ulsan Complex</t>
        </is>
      </c>
      <c r="E13" s="1" t="n">
        <v>264</v>
      </c>
      <c r="F13" s="1" t="n">
        <v>1972</v>
      </c>
      <c r="G13" s="1" t="n">
        <v>53</v>
      </c>
    </row>
    <row r="14">
      <c r="A14" s="1" t="inlineStr">
        <is>
          <t>PC</t>
        </is>
      </c>
      <c r="B14" s="1" t="inlineStr">
        <is>
          <t>Lotte Chemical</t>
        </is>
      </c>
      <c r="C14" s="1" t="inlineStr">
        <is>
          <t>Yeosu</t>
        </is>
      </c>
      <c r="D14" s="1" t="inlineStr">
        <is>
          <t>Yeosu Complex</t>
        </is>
      </c>
      <c r="E14" s="1" t="n">
        <v>480</v>
      </c>
      <c r="F14" s="1" t="n">
        <v>2008</v>
      </c>
      <c r="G14" s="1" t="n">
        <v>17</v>
      </c>
    </row>
    <row r="15">
      <c r="A15" s="1" t="inlineStr">
        <is>
          <t>PC</t>
        </is>
      </c>
      <c r="B15" s="1" t="inlineStr">
        <is>
          <t>LG Chem</t>
        </is>
      </c>
      <c r="C15" s="1" t="inlineStr">
        <is>
          <t>Yeosu</t>
        </is>
      </c>
      <c r="D15" s="1" t="inlineStr">
        <is>
          <t>Yeosu Complex</t>
        </is>
      </c>
      <c r="E15" s="1" t="n">
        <v>170</v>
      </c>
      <c r="F15" s="1" t="n">
        <v>2001</v>
      </c>
      <c r="G15" s="1" t="n">
        <v>24</v>
      </c>
    </row>
    <row r="16">
      <c r="A16" s="1" t="inlineStr">
        <is>
          <t>PC</t>
        </is>
      </c>
      <c r="B16" s="1" t="inlineStr">
        <is>
          <t>Samyang Chemical</t>
        </is>
      </c>
      <c r="C16" s="1" t="inlineStr">
        <is>
          <t>Jeonju</t>
        </is>
      </c>
      <c r="D16" s="1" t="inlineStr">
        <is>
          <t>Other Regions</t>
        </is>
      </c>
      <c r="E16" s="1" t="n">
        <v>120</v>
      </c>
      <c r="F16" s="1" t="n">
        <v>1999</v>
      </c>
      <c r="G16" s="1" t="n">
        <v>26</v>
      </c>
    </row>
    <row r="17">
      <c r="A17" s="1" t="inlineStr">
        <is>
          <t>LDPE</t>
        </is>
      </c>
      <c r="B17" s="1" t="inlineStr">
        <is>
          <t>HD Hyundai Chemical</t>
        </is>
      </c>
      <c r="C17" s="1" t="inlineStr">
        <is>
          <t>Daesan</t>
        </is>
      </c>
      <c r="D17" s="1" t="inlineStr">
        <is>
          <t>Daesan Complex</t>
        </is>
      </c>
      <c r="E17" s="1" t="n">
        <v>300</v>
      </c>
      <c r="F17" s="1" t="n">
        <v>2021</v>
      </c>
      <c r="G17" s="1" t="n">
        <v>4</v>
      </c>
    </row>
    <row r="18">
      <c r="A18" s="1" t="inlineStr">
        <is>
          <t>LDPE</t>
        </is>
      </c>
      <c r="B18" s="1" t="inlineStr">
        <is>
          <t>LG Chem</t>
        </is>
      </c>
      <c r="C18" s="1" t="inlineStr">
        <is>
          <t>Daesan</t>
        </is>
      </c>
      <c r="D18" s="1" t="inlineStr">
        <is>
          <t>Daesan Complex</t>
        </is>
      </c>
      <c r="E18" s="1" t="n">
        <v>280</v>
      </c>
      <c r="F18" s="1" t="n">
        <v>2006</v>
      </c>
      <c r="G18" s="1" t="n">
        <v>19</v>
      </c>
    </row>
    <row r="19">
      <c r="A19" s="1" t="inlineStr">
        <is>
          <t>LDPE</t>
        </is>
      </c>
      <c r="B19" s="1" t="inlineStr">
        <is>
          <t>Hanwha TotalEnergies</t>
        </is>
      </c>
      <c r="C19" s="1" t="inlineStr">
        <is>
          <t>Daesan</t>
        </is>
      </c>
      <c r="D19" s="1" t="inlineStr">
        <is>
          <t>Daesan Complex</t>
        </is>
      </c>
      <c r="E19" s="1" t="n">
        <v>435</v>
      </c>
      <c r="F19" s="1" t="n">
        <v>1991</v>
      </c>
      <c r="G19" s="1" t="n">
        <v>34</v>
      </c>
    </row>
    <row r="20">
      <c r="A20" s="1" t="inlineStr">
        <is>
          <t>LDPE</t>
        </is>
      </c>
      <c r="B20" s="1" t="inlineStr">
        <is>
          <t>LG Chem</t>
        </is>
      </c>
      <c r="C20" s="1" t="inlineStr">
        <is>
          <t>Yeosu</t>
        </is>
      </c>
      <c r="D20" s="1" t="inlineStr">
        <is>
          <t>Yeosu Complex</t>
        </is>
      </c>
      <c r="E20" s="1" t="n">
        <v>180</v>
      </c>
      <c r="F20" s="1" t="n">
        <v>1990</v>
      </c>
      <c r="G20" s="1" t="n">
        <v>35</v>
      </c>
    </row>
    <row r="21">
      <c r="A21" s="1" t="inlineStr">
        <is>
          <t>LDPE</t>
        </is>
      </c>
      <c r="B21" s="1" t="inlineStr">
        <is>
          <t>Hanwha Solutions</t>
        </is>
      </c>
      <c r="C21" s="1" t="inlineStr">
        <is>
          <t>Yeosu</t>
        </is>
      </c>
      <c r="D21" s="1" t="inlineStr">
        <is>
          <t>Yeosu Complex</t>
        </is>
      </c>
      <c r="E21" s="1" t="n">
        <v>337</v>
      </c>
      <c r="F21" s="1" t="n">
        <v>1979</v>
      </c>
      <c r="G21" s="1" t="n">
        <v>46</v>
      </c>
    </row>
    <row r="22">
      <c r="A22" s="1" t="inlineStr">
        <is>
          <t>LDPE</t>
        </is>
      </c>
      <c r="B22" s="1" t="inlineStr">
        <is>
          <t>Lotte Chemical</t>
        </is>
      </c>
      <c r="C22" s="1" t="inlineStr">
        <is>
          <t>Ulsan</t>
        </is>
      </c>
      <c r="D22" s="1" t="inlineStr">
        <is>
          <t>Ulsan Complex</t>
        </is>
      </c>
      <c r="E22" s="1" t="n">
        <v>120</v>
      </c>
      <c r="F22" s="1" t="n">
        <v>1972</v>
      </c>
      <c r="G22" s="1" t="n">
        <v>53</v>
      </c>
    </row>
    <row r="23">
      <c r="A23" s="1" t="inlineStr">
        <is>
          <t>LDPE</t>
        </is>
      </c>
      <c r="B23" s="1" t="inlineStr">
        <is>
          <t>Lotte Chemical</t>
        </is>
      </c>
      <c r="C23" s="1" t="inlineStr">
        <is>
          <t>Daesan</t>
        </is>
      </c>
      <c r="D23" s="1" t="inlineStr">
        <is>
          <t>Daesan Complex</t>
        </is>
      </c>
      <c r="E23" s="1" t="n">
        <v>500</v>
      </c>
      <c r="F23" s="1" t="n">
        <v>2005</v>
      </c>
      <c r="G23" s="1" t="n">
        <v>20</v>
      </c>
    </row>
    <row r="24">
      <c r="A24" s="1" t="inlineStr">
        <is>
          <t>L-LDPE</t>
        </is>
      </c>
      <c r="B24" s="1" t="inlineStr">
        <is>
          <t>LG Chem</t>
        </is>
      </c>
      <c r="C24" s="1" t="inlineStr">
        <is>
          <t>Daesan</t>
        </is>
      </c>
      <c r="D24" s="1" t="inlineStr">
        <is>
          <t>Daesan Complex</t>
        </is>
      </c>
      <c r="E24" s="1" t="n">
        <v>125</v>
      </c>
      <c r="F24" s="1" t="n">
        <v>2006</v>
      </c>
      <c r="G24" s="1" t="n">
        <v>19</v>
      </c>
    </row>
    <row r="25">
      <c r="A25" s="1" t="inlineStr">
        <is>
          <t>L-LDPE</t>
        </is>
      </c>
      <c r="B25" s="1" t="inlineStr">
        <is>
          <t>Hanwha TotalEnergies</t>
        </is>
      </c>
      <c r="C25" s="1" t="inlineStr">
        <is>
          <t>Daesan</t>
        </is>
      </c>
      <c r="D25" s="1" t="inlineStr">
        <is>
          <t>Daesan Complex</t>
        </is>
      </c>
      <c r="E25" s="1" t="n">
        <v>530</v>
      </c>
      <c r="F25" s="1" t="n">
        <v>2004</v>
      </c>
      <c r="G25" s="1" t="n">
        <v>21</v>
      </c>
    </row>
    <row r="26">
      <c r="A26" s="1" t="inlineStr">
        <is>
          <t>L-LDPE</t>
        </is>
      </c>
      <c r="B26" s="1" t="inlineStr">
        <is>
          <t>DL Chemical</t>
        </is>
      </c>
      <c r="C26" s="1" t="inlineStr">
        <is>
          <t>Yeosu</t>
        </is>
      </c>
      <c r="D26" s="1" t="inlineStr">
        <is>
          <t>Yeosu Complex</t>
        </is>
      </c>
      <c r="E26" s="1" t="n">
        <v>10</v>
      </c>
      <c r="F26" s="1" t="n">
        <v>2010</v>
      </c>
      <c r="G26" s="1" t="n">
        <v>15</v>
      </c>
    </row>
    <row r="27">
      <c r="A27" s="1" t="inlineStr">
        <is>
          <t>L-LDPE</t>
        </is>
      </c>
      <c r="B27" s="1" t="inlineStr">
        <is>
          <t>Lotte Chemical</t>
        </is>
      </c>
      <c r="C27" s="1" t="inlineStr">
        <is>
          <t>Yeosu</t>
        </is>
      </c>
      <c r="D27" s="1" t="inlineStr">
        <is>
          <t>Yeosu Complex</t>
        </is>
      </c>
      <c r="E27" s="1" t="n">
        <v>600</v>
      </c>
      <c r="F27" s="1" t="n">
        <v>2019</v>
      </c>
      <c r="G27" s="1" t="n">
        <v>6</v>
      </c>
    </row>
    <row r="28">
      <c r="A28" s="1" t="inlineStr">
        <is>
          <t>L-LDPE</t>
        </is>
      </c>
      <c r="B28" s="1" t="inlineStr">
        <is>
          <t>LG Chem</t>
        </is>
      </c>
      <c r="C28" s="1" t="inlineStr">
        <is>
          <t>Yeosu</t>
        </is>
      </c>
      <c r="D28" s="1" t="inlineStr">
        <is>
          <t>Yeosu Complex</t>
        </is>
      </c>
      <c r="E28" s="1" t="n">
        <v>425</v>
      </c>
      <c r="F28" s="1" t="n">
        <v>2021</v>
      </c>
      <c r="G28" s="1" t="n">
        <v>4</v>
      </c>
    </row>
    <row r="29">
      <c r="A29" s="1" t="inlineStr">
        <is>
          <t>L-LDPE</t>
        </is>
      </c>
      <c r="B29" s="1" t="inlineStr">
        <is>
          <t>Hanwha Solutions</t>
        </is>
      </c>
      <c r="C29" s="1" t="inlineStr">
        <is>
          <t>Yeosu</t>
        </is>
      </c>
      <c r="D29" s="1" t="inlineStr">
        <is>
          <t>Yeosu Complex</t>
        </is>
      </c>
      <c r="E29" s="1" t="n">
        <v>288</v>
      </c>
      <c r="F29" s="1" t="n">
        <v>1986</v>
      </c>
      <c r="G29" s="1" t="n">
        <v>39</v>
      </c>
    </row>
    <row r="30">
      <c r="A30" s="1" t="inlineStr">
        <is>
          <t>L-LDPE</t>
        </is>
      </c>
      <c r="B30" s="1" t="inlineStr">
        <is>
          <t>SSNC</t>
        </is>
      </c>
      <c r="C30" s="1" t="inlineStr">
        <is>
          <t>Ulsan</t>
        </is>
      </c>
      <c r="D30" s="1" t="inlineStr">
        <is>
          <t>Ulsan Complex</t>
        </is>
      </c>
      <c r="E30" s="1" t="n">
        <v>180</v>
      </c>
      <c r="F30" s="1" t="n">
        <v>2015</v>
      </c>
      <c r="G30" s="1" t="n">
        <v>10</v>
      </c>
    </row>
    <row r="31">
      <c r="A31" s="1" t="inlineStr">
        <is>
          <t>L-LDPE</t>
        </is>
      </c>
      <c r="B31" s="1" t="inlineStr">
        <is>
          <t>SK Geocentric</t>
        </is>
      </c>
      <c r="C31" s="1" t="inlineStr">
        <is>
          <t>Ulsan</t>
        </is>
      </c>
      <c r="D31" s="1" t="inlineStr">
        <is>
          <t>Ulsan Complex</t>
        </is>
      </c>
      <c r="E31" s="1" t="n">
        <v>550</v>
      </c>
      <c r="F31" s="1" t="n">
        <v>1990</v>
      </c>
      <c r="G31" s="1" t="n">
        <v>35</v>
      </c>
    </row>
    <row r="32">
      <c r="A32" s="1" t="inlineStr">
        <is>
          <t>HDPE</t>
        </is>
      </c>
      <c r="B32" s="1" t="inlineStr">
        <is>
          <t>HD Hyundai Chemical</t>
        </is>
      </c>
      <c r="C32" s="1" t="inlineStr">
        <is>
          <t>Daesan</t>
        </is>
      </c>
      <c r="D32" s="1" t="inlineStr">
        <is>
          <t>Daesan Complex</t>
        </is>
      </c>
      <c r="E32" s="1" t="n">
        <v>575</v>
      </c>
      <c r="F32" s="1" t="n">
        <v>2021</v>
      </c>
      <c r="G32" s="1" t="n">
        <v>4</v>
      </c>
    </row>
    <row r="33">
      <c r="A33" s="1" t="inlineStr">
        <is>
          <t>HDPE</t>
        </is>
      </c>
      <c r="B33" s="1" t="inlineStr">
        <is>
          <t>Hanwha TotalEnergies</t>
        </is>
      </c>
      <c r="C33" s="1" t="inlineStr">
        <is>
          <t>Daesan</t>
        </is>
      </c>
      <c r="D33" s="1" t="inlineStr">
        <is>
          <t>Daesan Complex</t>
        </is>
      </c>
      <c r="E33" s="1" t="n">
        <v>180</v>
      </c>
      <c r="F33" s="1" t="n">
        <v>1991</v>
      </c>
      <c r="G33" s="1" t="n">
        <v>34</v>
      </c>
    </row>
    <row r="34">
      <c r="A34" s="1" t="inlineStr">
        <is>
          <t>HDPE</t>
        </is>
      </c>
      <c r="B34" s="1" t="inlineStr">
        <is>
          <t>DL Chemical</t>
        </is>
      </c>
      <c r="C34" s="1" t="inlineStr">
        <is>
          <t>Yeosu</t>
        </is>
      </c>
      <c r="D34" s="1" t="inlineStr">
        <is>
          <t>Yeosu Complex</t>
        </is>
      </c>
      <c r="E34" s="1" t="n">
        <v>630</v>
      </c>
      <c r="F34" s="1" t="n">
        <v>1980</v>
      </c>
      <c r="G34" s="1" t="n">
        <v>45</v>
      </c>
    </row>
    <row r="35">
      <c r="A35" s="1" t="inlineStr">
        <is>
          <t>HDPE</t>
        </is>
      </c>
      <c r="B35" s="1" t="inlineStr">
        <is>
          <t>Lotte Chemical</t>
        </is>
      </c>
      <c r="C35" s="1" t="inlineStr">
        <is>
          <t>Yeosu</t>
        </is>
      </c>
      <c r="D35" s="1" t="inlineStr">
        <is>
          <t>Yeosu Complex</t>
        </is>
      </c>
      <c r="E35" s="1" t="n">
        <v>360</v>
      </c>
      <c r="F35" s="1" t="n">
        <v>1992</v>
      </c>
      <c r="G35" s="1" t="n">
        <v>33</v>
      </c>
    </row>
    <row r="36">
      <c r="A36" s="1" t="inlineStr">
        <is>
          <t>HDPE</t>
        </is>
      </c>
      <c r="B36" s="1" t="inlineStr">
        <is>
          <t>LG Chem</t>
        </is>
      </c>
      <c r="C36" s="1" t="inlineStr">
        <is>
          <t>Yeosu</t>
        </is>
      </c>
      <c r="D36" s="1" t="inlineStr">
        <is>
          <t>Yeosu Complex</t>
        </is>
      </c>
      <c r="E36" s="1" t="n">
        <v>500</v>
      </c>
      <c r="F36" s="1" t="n">
        <v>1992</v>
      </c>
      <c r="G36" s="1" t="n">
        <v>33</v>
      </c>
    </row>
    <row r="37">
      <c r="A37" s="1" t="inlineStr">
        <is>
          <t>HDPE</t>
        </is>
      </c>
      <c r="B37" s="1" t="inlineStr">
        <is>
          <t>GS Caltex</t>
        </is>
      </c>
      <c r="C37" s="1" t="inlineStr">
        <is>
          <t>Yeosu</t>
        </is>
      </c>
      <c r="D37" s="1" t="inlineStr">
        <is>
          <t>Yeosu Complex</t>
        </is>
      </c>
      <c r="E37" s="1" t="n">
        <v>650</v>
      </c>
      <c r="F37" s="1" t="n">
        <v>2021</v>
      </c>
      <c r="G37" s="1" t="n">
        <v>4</v>
      </c>
    </row>
    <row r="38">
      <c r="A38" s="1" t="inlineStr">
        <is>
          <t>HDPE</t>
        </is>
      </c>
      <c r="B38" s="1" t="inlineStr">
        <is>
          <t>Daehan Oil Chemical</t>
        </is>
      </c>
      <c r="C38" s="1" t="inlineStr">
        <is>
          <t>Onsan</t>
        </is>
      </c>
      <c r="D38" s="1" t="inlineStr">
        <is>
          <t>Ulsan Complex</t>
        </is>
      </c>
      <c r="E38" s="1" t="n">
        <v>210</v>
      </c>
      <c r="F38" s="1" t="n">
        <v>1976</v>
      </c>
      <c r="G38" s="1" t="n">
        <v>49</v>
      </c>
    </row>
    <row r="39">
      <c r="A39" s="1" t="inlineStr">
        <is>
          <t>HDPE</t>
        </is>
      </c>
      <c r="B39" s="1" t="inlineStr">
        <is>
          <t>SK Geocentric</t>
        </is>
      </c>
      <c r="C39" s="1" t="inlineStr">
        <is>
          <t>Ulsan</t>
        </is>
      </c>
      <c r="D39" s="1" t="inlineStr">
        <is>
          <t>Ulsan Complex</t>
        </is>
      </c>
      <c r="E39" s="1" t="n">
        <v>490</v>
      </c>
      <c r="F39" s="1" t="n">
        <v>1990</v>
      </c>
      <c r="G39" s="1" t="n">
        <v>35</v>
      </c>
    </row>
    <row r="40">
      <c r="A40" s="1" t="inlineStr">
        <is>
          <t>PP</t>
        </is>
      </c>
      <c r="B40" s="1" t="inlineStr">
        <is>
          <t>Lotte Chemical</t>
        </is>
      </c>
      <c r="C40" s="1" t="inlineStr">
        <is>
          <t>Daesan</t>
        </is>
      </c>
      <c r="D40" s="1" t="inlineStr">
        <is>
          <t>Daesan Complex</t>
        </is>
      </c>
      <c r="E40" s="1" t="n">
        <v>500</v>
      </c>
      <c r="F40" s="1" t="n">
        <v>2005</v>
      </c>
      <c r="G40" s="1" t="n">
        <v>20</v>
      </c>
    </row>
    <row r="41">
      <c r="A41" s="1" t="inlineStr">
        <is>
          <t>PP</t>
        </is>
      </c>
      <c r="B41" s="1" t="inlineStr">
        <is>
          <t>HD Hyundai Chemical</t>
        </is>
      </c>
      <c r="C41" s="1" t="inlineStr">
        <is>
          <t>Daesan</t>
        </is>
      </c>
      <c r="D41" s="1" t="inlineStr">
        <is>
          <t>Daesan Complex</t>
        </is>
      </c>
      <c r="E41" s="1" t="n">
        <v>380</v>
      </c>
      <c r="F41" s="1" t="n">
        <v>2021</v>
      </c>
      <c r="G41" s="1" t="n">
        <v>4</v>
      </c>
    </row>
    <row r="42">
      <c r="A42" s="1" t="inlineStr">
        <is>
          <t>PP</t>
        </is>
      </c>
      <c r="B42" s="1" t="inlineStr">
        <is>
          <t>LG Chem</t>
        </is>
      </c>
      <c r="C42" s="1" t="inlineStr">
        <is>
          <t>Daesan</t>
        </is>
      </c>
      <c r="D42" s="1" t="inlineStr">
        <is>
          <t>Daesan Complex</t>
        </is>
      </c>
      <c r="E42" s="1" t="n">
        <v>1117</v>
      </c>
      <c r="F42" s="1" t="n">
        <v>2006</v>
      </c>
      <c r="G42" s="1" t="n">
        <v>19</v>
      </c>
    </row>
    <row r="43">
      <c r="A43" s="1" t="inlineStr">
        <is>
          <t>PP</t>
        </is>
      </c>
      <c r="B43" s="1" t="inlineStr">
        <is>
          <t>Hanwha TotalEnergies</t>
        </is>
      </c>
      <c r="C43" s="1" t="inlineStr">
        <is>
          <t>Daesan</t>
        </is>
      </c>
      <c r="D43" s="1" t="inlineStr">
        <is>
          <t>Daesan Complex</t>
        </is>
      </c>
      <c r="E43" s="1" t="n">
        <v>600</v>
      </c>
      <c r="F43" s="1" t="n">
        <v>1991</v>
      </c>
      <c r="G43" s="1" t="n">
        <v>34</v>
      </c>
    </row>
    <row r="44">
      <c r="A44" s="1" t="inlineStr">
        <is>
          <t>PP</t>
        </is>
      </c>
      <c r="B44" s="1" t="inlineStr">
        <is>
          <t>Lotte Chemical</t>
        </is>
      </c>
      <c r="C44" s="1" t="inlineStr">
        <is>
          <t>Yeosu</t>
        </is>
      </c>
      <c r="D44" s="1" t="inlineStr">
        <is>
          <t>Yeosu Complex</t>
        </is>
      </c>
      <c r="E44" s="1" t="n">
        <v>180</v>
      </c>
      <c r="F44" s="1" t="n">
        <v>1979</v>
      </c>
      <c r="G44" s="1" t="n">
        <v>46</v>
      </c>
    </row>
    <row r="45">
      <c r="A45" s="1" t="inlineStr">
        <is>
          <t>PP</t>
        </is>
      </c>
      <c r="B45" s="1" t="inlineStr">
        <is>
          <t>GS Caltex</t>
        </is>
      </c>
      <c r="C45" s="1" t="inlineStr">
        <is>
          <t>Yeosu</t>
        </is>
      </c>
      <c r="D45" s="1" t="inlineStr">
        <is>
          <t>Yeosu Complex</t>
        </is>
      </c>
      <c r="E45" s="1" t="n">
        <v>730</v>
      </c>
      <c r="F45" s="1" t="n">
        <v>1987</v>
      </c>
      <c r="G45" s="1" t="n">
        <v>38</v>
      </c>
    </row>
    <row r="46">
      <c r="A46" s="1" t="inlineStr">
        <is>
          <t>PP</t>
        </is>
      </c>
      <c r="B46" s="1" t="inlineStr">
        <is>
          <t>Poly Mirae</t>
        </is>
      </c>
      <c r="C46" s="1" t="inlineStr">
        <is>
          <t>Yeosu</t>
        </is>
      </c>
      <c r="D46" s="1" t="inlineStr">
        <is>
          <t>Yeosu Complex</t>
        </is>
      </c>
      <c r="E46" s="1" t="n">
        <v>405</v>
      </c>
      <c r="F46" s="1" t="n">
        <v>1993</v>
      </c>
      <c r="G46" s="1" t="n">
        <v>32</v>
      </c>
    </row>
    <row r="47">
      <c r="A47" s="1" t="inlineStr">
        <is>
          <t>PP</t>
        </is>
      </c>
      <c r="B47" s="1" t="inlineStr">
        <is>
          <t>S-Oil</t>
        </is>
      </c>
      <c r="C47" s="1" t="inlineStr">
        <is>
          <t>Onsan</t>
        </is>
      </c>
      <c r="D47" s="1" t="inlineStr">
        <is>
          <t>Ulsan Complex</t>
        </is>
      </c>
      <c r="E47" s="1" t="n">
        <v>550</v>
      </c>
      <c r="F47" s="1" t="n">
        <v>2018</v>
      </c>
      <c r="G47" s="1" t="n">
        <v>7</v>
      </c>
    </row>
    <row r="48">
      <c r="A48" s="1" t="inlineStr">
        <is>
          <t>PP</t>
        </is>
      </c>
      <c r="B48" s="1" t="inlineStr">
        <is>
          <t>Daehan Oil Chemical</t>
        </is>
      </c>
      <c r="C48" s="1" t="inlineStr">
        <is>
          <t>Onsan</t>
        </is>
      </c>
      <c r="D48" s="1" t="inlineStr">
        <is>
          <t>Ulsan Complex</t>
        </is>
      </c>
      <c r="E48" s="1" t="n">
        <v>432</v>
      </c>
      <c r="F48" s="1" t="n">
        <v>1976</v>
      </c>
      <c r="G48" s="1" t="n">
        <v>49</v>
      </c>
    </row>
    <row r="49">
      <c r="A49" s="1" t="inlineStr">
        <is>
          <t>PP</t>
        </is>
      </c>
      <c r="B49" s="1" t="inlineStr">
        <is>
          <t>SK Geocentric</t>
        </is>
      </c>
      <c r="C49" s="1" t="inlineStr">
        <is>
          <t>Ulsan</t>
        </is>
      </c>
      <c r="D49" s="1" t="inlineStr">
        <is>
          <t>Ulsan Complex</t>
        </is>
      </c>
      <c r="E49" s="1" t="n">
        <v>400</v>
      </c>
      <c r="F49" s="1" t="n">
        <v>1990</v>
      </c>
      <c r="G49" s="1" t="n">
        <v>35</v>
      </c>
    </row>
    <row r="50">
      <c r="A50" s="1" t="inlineStr">
        <is>
          <t>PP</t>
        </is>
      </c>
      <c r="B50" s="1" t="inlineStr">
        <is>
          <t>Ulsan PP</t>
        </is>
      </c>
      <c r="C50" s="1" t="inlineStr">
        <is>
          <t>Ulsan</t>
        </is>
      </c>
      <c r="D50" s="1" t="inlineStr">
        <is>
          <t>Ulsan Complex</t>
        </is>
      </c>
      <c r="E50" s="1" t="n">
        <v>600</v>
      </c>
      <c r="F50" s="1" t="n">
        <v>2021</v>
      </c>
      <c r="G50" s="1" t="n">
        <v>4</v>
      </c>
    </row>
    <row r="51">
      <c r="A51" s="1" t="inlineStr">
        <is>
          <t>PP</t>
        </is>
      </c>
      <c r="B51" s="1" t="inlineStr">
        <is>
          <t>Hyosung Chemical</t>
        </is>
      </c>
      <c r="C51" s="1" t="inlineStr">
        <is>
          <t>Ulsan</t>
        </is>
      </c>
      <c r="D51" s="1" t="inlineStr">
        <is>
          <t>Ulsan Complex</t>
        </is>
      </c>
      <c r="E51" s="1" t="n">
        <v>0</v>
      </c>
      <c r="F51" s="1" t="n">
        <v>1991</v>
      </c>
      <c r="G51" s="1" t="n">
        <v>34</v>
      </c>
    </row>
    <row r="52">
      <c r="A52" s="1" t="inlineStr">
        <is>
          <t>PS</t>
        </is>
      </c>
      <c r="B52" s="1" t="inlineStr">
        <is>
          <t>LG Chem</t>
        </is>
      </c>
      <c r="C52" s="1" t="inlineStr">
        <is>
          <t>Yeosu</t>
        </is>
      </c>
      <c r="D52" s="1" t="inlineStr">
        <is>
          <t>Yeosu Complex</t>
        </is>
      </c>
      <c r="E52" s="1" t="n">
        <v>40</v>
      </c>
      <c r="F52" s="1" t="n">
        <v>1984</v>
      </c>
      <c r="G52" s="1" t="n">
        <v>41</v>
      </c>
    </row>
    <row r="53">
      <c r="A53" s="1" t="inlineStr">
        <is>
          <t>PS</t>
        </is>
      </c>
      <c r="B53" s="1" t="inlineStr">
        <is>
          <t>Kumho Petrochemical</t>
        </is>
      </c>
      <c r="C53" s="1" t="inlineStr">
        <is>
          <t>Ulsan</t>
        </is>
      </c>
      <c r="D53" s="1" t="inlineStr">
        <is>
          <t>Ulsan Complex</t>
        </is>
      </c>
      <c r="E53" s="1" t="n">
        <v>265</v>
      </c>
      <c r="F53" s="1" t="n">
        <v>1973</v>
      </c>
      <c r="G53" s="1" t="n">
        <v>52</v>
      </c>
    </row>
    <row r="54">
      <c r="A54" s="1" t="inlineStr">
        <is>
          <t>PS</t>
        </is>
      </c>
      <c r="B54" s="1" t="inlineStr">
        <is>
          <t>HDC Hyundai EP</t>
        </is>
      </c>
      <c r="C54" s="1" t="inlineStr">
        <is>
          <t>Ulsan</t>
        </is>
      </c>
      <c r="D54" s="1" t="inlineStr">
        <is>
          <t>Ulsan Complex</t>
        </is>
      </c>
      <c r="E54" s="1" t="n">
        <v>148</v>
      </c>
      <c r="F54" s="1" t="n">
        <v>1989</v>
      </c>
      <c r="G54" s="1" t="n">
        <v>36</v>
      </c>
    </row>
    <row r="55">
      <c r="A55" s="1" t="inlineStr">
        <is>
          <t>PS</t>
        </is>
      </c>
      <c r="B55" s="1" t="inlineStr">
        <is>
          <t>Korea INEOS Styrolution</t>
        </is>
      </c>
      <c r="C55" s="1" t="inlineStr">
        <is>
          <t>Ulsan</t>
        </is>
      </c>
      <c r="D55" s="1" t="inlineStr">
        <is>
          <t>Ulsan Complex</t>
        </is>
      </c>
      <c r="E55" s="1" t="n">
        <v>266</v>
      </c>
      <c r="F55" s="1" t="n">
        <v>1985</v>
      </c>
      <c r="G55" s="1" t="n">
        <v>40</v>
      </c>
    </row>
    <row r="56">
      <c r="A56" s="1" t="inlineStr">
        <is>
          <t>EPS</t>
        </is>
      </c>
      <c r="B56" s="1" t="inlineStr">
        <is>
          <t>SH Energy Chemical</t>
        </is>
      </c>
      <c r="C56" s="1" t="inlineStr">
        <is>
          <t>Gunsan</t>
        </is>
      </c>
      <c r="D56" s="1" t="inlineStr">
        <is>
          <t>Other Regions</t>
        </is>
      </c>
      <c r="E56" s="1" t="n">
        <v>100</v>
      </c>
      <c r="F56" s="1" t="n">
        <v>1973</v>
      </c>
      <c r="G56" s="1" t="n">
        <v>52</v>
      </c>
    </row>
    <row r="57">
      <c r="A57" s="1" t="inlineStr">
        <is>
          <t>EPS</t>
        </is>
      </c>
      <c r="B57" s="1" t="inlineStr">
        <is>
          <t>Lotte Chemical</t>
        </is>
      </c>
      <c r="C57" s="1" t="inlineStr">
        <is>
          <t>Yeosu</t>
        </is>
      </c>
      <c r="D57" s="1" t="inlineStr">
        <is>
          <t>Yeosu Complex</t>
        </is>
      </c>
      <c r="E57" s="1" t="n">
        <v>90</v>
      </c>
      <c r="F57" s="1" t="n">
        <v>1989</v>
      </c>
      <c r="G57" s="1" t="n">
        <v>36</v>
      </c>
    </row>
    <row r="58">
      <c r="A58" s="1" t="inlineStr">
        <is>
          <t>EPS</t>
        </is>
      </c>
      <c r="B58" s="1" t="inlineStr">
        <is>
          <t>LG Chem</t>
        </is>
      </c>
      <c r="C58" s="1" t="inlineStr">
        <is>
          <t>Yeosu</t>
        </is>
      </c>
      <c r="D58" s="1" t="inlineStr">
        <is>
          <t>Yeosu Complex</t>
        </is>
      </c>
      <c r="E58" s="1" t="n">
        <v>90</v>
      </c>
      <c r="F58" s="1" t="n">
        <v>1984</v>
      </c>
      <c r="G58" s="1" t="n">
        <v>41</v>
      </c>
    </row>
    <row r="59">
      <c r="A59" s="1" t="inlineStr">
        <is>
          <t>EPS</t>
        </is>
      </c>
      <c r="B59" s="1" t="inlineStr">
        <is>
          <t>Kumho Petrochemical</t>
        </is>
      </c>
      <c r="C59" s="1" t="inlineStr">
        <is>
          <t>Ulsan</t>
        </is>
      </c>
      <c r="D59" s="1" t="inlineStr">
        <is>
          <t>Ulsan Complex</t>
        </is>
      </c>
      <c r="E59" s="1" t="n">
        <v>80</v>
      </c>
      <c r="F59" s="1" t="n">
        <v>1973</v>
      </c>
      <c r="G59" s="1" t="n">
        <v>52</v>
      </c>
    </row>
    <row r="60">
      <c r="A60" s="1" t="inlineStr">
        <is>
          <t>EPS</t>
        </is>
      </c>
      <c r="B60" s="1" t="inlineStr">
        <is>
          <t>HDC Hyundai EP</t>
        </is>
      </c>
      <c r="C60" s="1" t="inlineStr">
        <is>
          <t>Ulsan</t>
        </is>
      </c>
      <c r="D60" s="1" t="inlineStr">
        <is>
          <t>Ulsan Complex</t>
        </is>
      </c>
      <c r="E60" s="1" t="n">
        <v>80</v>
      </c>
      <c r="F60" s="1" t="n">
        <v>1989</v>
      </c>
      <c r="G60" s="1" t="n">
        <v>36</v>
      </c>
    </row>
    <row r="61">
      <c r="A61" s="1" t="inlineStr">
        <is>
          <t>EPS</t>
        </is>
      </c>
      <c r="B61" s="1" t="inlineStr">
        <is>
          <t>BASF Korea</t>
        </is>
      </c>
      <c r="C61" s="1" t="inlineStr">
        <is>
          <t>Ulsan</t>
        </is>
      </c>
      <c r="D61" s="1" t="inlineStr">
        <is>
          <t>Ulsan Complex</t>
        </is>
      </c>
      <c r="E61" s="1" t="n">
        <v>85</v>
      </c>
      <c r="F61" s="1" t="n">
        <v>1982</v>
      </c>
      <c r="G61" s="1" t="n">
        <v>43</v>
      </c>
    </row>
    <row r="62">
      <c r="A62" s="1" t="inlineStr">
        <is>
          <t>ABS</t>
        </is>
      </c>
      <c r="B62" s="1" t="inlineStr">
        <is>
          <t>Lotte Chemical</t>
        </is>
      </c>
      <c r="C62" s="1" t="inlineStr">
        <is>
          <t>Yeosu</t>
        </is>
      </c>
      <c r="D62" s="1" t="inlineStr">
        <is>
          <t>Yeosu Complex</t>
        </is>
      </c>
      <c r="E62" s="1" t="n">
        <v>757</v>
      </c>
      <c r="F62" s="1" t="n">
        <v>1989</v>
      </c>
      <c r="G62" s="1" t="n">
        <v>36</v>
      </c>
    </row>
    <row r="63">
      <c r="A63" s="1" t="inlineStr">
        <is>
          <t>ABS</t>
        </is>
      </c>
      <c r="B63" s="1" t="inlineStr">
        <is>
          <t>LG Chem</t>
        </is>
      </c>
      <c r="C63" s="1" t="inlineStr">
        <is>
          <t>Yeosu</t>
        </is>
      </c>
      <c r="D63" s="1" t="inlineStr">
        <is>
          <t>Yeosu Complex</t>
        </is>
      </c>
      <c r="E63" s="1" t="n">
        <v>1030</v>
      </c>
      <c r="F63" s="1" t="n">
        <v>1978</v>
      </c>
      <c r="G63" s="1" t="n">
        <v>47</v>
      </c>
    </row>
    <row r="64">
      <c r="A64" s="1" t="inlineStr">
        <is>
          <t>ABS</t>
        </is>
      </c>
      <c r="B64" s="1" t="inlineStr">
        <is>
          <t>Kumho Petrochemical</t>
        </is>
      </c>
      <c r="C64" s="1" t="inlineStr">
        <is>
          <t>Ulsan</t>
        </is>
      </c>
      <c r="D64" s="1" t="inlineStr">
        <is>
          <t>Ulsan Complex</t>
        </is>
      </c>
      <c r="E64" s="1" t="n">
        <v>290</v>
      </c>
      <c r="F64" s="1" t="n">
        <v>1973</v>
      </c>
      <c r="G64" s="1" t="n">
        <v>52</v>
      </c>
    </row>
    <row r="65">
      <c r="A65" s="1" t="inlineStr">
        <is>
          <t>ABS</t>
        </is>
      </c>
      <c r="B65" s="1" t="inlineStr">
        <is>
          <t>Korea INEOS Styrolution</t>
        </is>
      </c>
      <c r="C65" s="1" t="inlineStr">
        <is>
          <t>Ulsan</t>
        </is>
      </c>
      <c r="D65" s="1" t="inlineStr">
        <is>
          <t>Ulsan Complex</t>
        </is>
      </c>
      <c r="E65" s="1" t="n">
        <v>276</v>
      </c>
      <c r="F65" s="1" t="n">
        <v>1990</v>
      </c>
      <c r="G65" s="1" t="n">
        <v>35</v>
      </c>
    </row>
    <row r="66">
      <c r="A66" s="1" t="inlineStr">
        <is>
          <t>PVC</t>
        </is>
      </c>
      <c r="B66" s="1" t="inlineStr">
        <is>
          <t>LG Chem</t>
        </is>
      </c>
      <c r="C66" s="1" t="inlineStr">
        <is>
          <t>Daesan</t>
        </is>
      </c>
      <c r="D66" s="1" t="inlineStr">
        <is>
          <t>Daesan Complex</t>
        </is>
      </c>
      <c r="E66" s="1" t="n">
        <v>240</v>
      </c>
      <c r="F66" s="1" t="n">
        <v>1998</v>
      </c>
      <c r="G66" s="1" t="n">
        <v>27</v>
      </c>
    </row>
    <row r="67">
      <c r="A67" s="1" t="inlineStr">
        <is>
          <t>PVC</t>
        </is>
      </c>
      <c r="B67" s="1" t="inlineStr">
        <is>
          <t>LG Chem</t>
        </is>
      </c>
      <c r="C67" s="1" t="inlineStr">
        <is>
          <t>Yeosu</t>
        </is>
      </c>
      <c r="D67" s="1" t="inlineStr">
        <is>
          <t>Yeosu Complex</t>
        </is>
      </c>
      <c r="E67" s="1" t="n">
        <v>450</v>
      </c>
      <c r="F67" s="1" t="n">
        <v>1976</v>
      </c>
      <c r="G67" s="1" t="n">
        <v>49</v>
      </c>
    </row>
    <row r="68">
      <c r="A68" s="1" t="inlineStr">
        <is>
          <t>PVC</t>
        </is>
      </c>
      <c r="B68" s="1" t="inlineStr">
        <is>
          <t>Hanwha Solutions</t>
        </is>
      </c>
      <c r="C68" s="1" t="inlineStr">
        <is>
          <t>Yeosu</t>
        </is>
      </c>
      <c r="D68" s="1" t="inlineStr">
        <is>
          <t>Yeosu Complex</t>
        </is>
      </c>
      <c r="E68" s="1" t="n">
        <v>480</v>
      </c>
      <c r="F68" s="1" t="n">
        <v>1990</v>
      </c>
      <c r="G68" s="1" t="n">
        <v>35</v>
      </c>
    </row>
    <row r="69">
      <c r="A69" s="1" t="inlineStr">
        <is>
          <t>PVC</t>
        </is>
      </c>
      <c r="B69" s="1" t="inlineStr">
        <is>
          <t>Hanwha Solutions</t>
        </is>
      </c>
      <c r="C69" s="1" t="inlineStr">
        <is>
          <t>Ulsan</t>
        </is>
      </c>
      <c r="D69" s="1" t="inlineStr">
        <is>
          <t>Ulsan Complex</t>
        </is>
      </c>
      <c r="E69" s="1" t="n">
        <v>330</v>
      </c>
      <c r="F69" s="1" t="n">
        <v>2066</v>
      </c>
      <c r="G69" s="1" t="n">
        <v>-41</v>
      </c>
    </row>
    <row r="70">
      <c r="A70" s="1" t="inlineStr">
        <is>
          <t>TPA</t>
        </is>
      </c>
      <c r="B70" s="1" t="inlineStr">
        <is>
          <t>Hanwha Impact</t>
        </is>
      </c>
      <c r="C70" s="1" t="inlineStr">
        <is>
          <t>Daesan</t>
        </is>
      </c>
      <c r="D70" s="1" t="inlineStr">
        <is>
          <t>Daesan Complex</t>
        </is>
      </c>
      <c r="E70" s="1" t="n">
        <v>700</v>
      </c>
      <c r="F70" s="1" t="n">
        <v>1997</v>
      </c>
      <c r="G70" s="1" t="n">
        <v>28</v>
      </c>
    </row>
    <row r="71">
      <c r="A71" s="1" t="inlineStr">
        <is>
          <t>TPA</t>
        </is>
      </c>
      <c r="B71" s="1" t="inlineStr">
        <is>
          <t>Samnam Petrochemical</t>
        </is>
      </c>
      <c r="C71" s="1" t="inlineStr">
        <is>
          <t>Yeosu</t>
        </is>
      </c>
      <c r="D71" s="1" t="inlineStr">
        <is>
          <t>Yeosu Complex</t>
        </is>
      </c>
      <c r="E71" s="1" t="n">
        <v>1500</v>
      </c>
      <c r="F71" s="1" t="n">
        <v>1990</v>
      </c>
      <c r="G71" s="1" t="n">
        <v>35</v>
      </c>
    </row>
    <row r="72">
      <c r="A72" s="1" t="inlineStr">
        <is>
          <t>TPA</t>
        </is>
      </c>
      <c r="B72" s="1" t="inlineStr">
        <is>
          <t>Lotte Chemical</t>
        </is>
      </c>
      <c r="C72" s="1" t="inlineStr">
        <is>
          <t>Ulsan</t>
        </is>
      </c>
      <c r="D72" s="1" t="inlineStr">
        <is>
          <t>Ulsan Complex</t>
        </is>
      </c>
      <c r="E72" s="1" t="n">
        <v>0</v>
      </c>
      <c r="F72" s="1" t="n">
        <v>1990</v>
      </c>
      <c r="G72" s="1" t="n">
        <v>35</v>
      </c>
    </row>
    <row r="73">
      <c r="A73" s="1" t="inlineStr">
        <is>
          <t>TPA</t>
        </is>
      </c>
      <c r="B73" s="1" t="inlineStr">
        <is>
          <t>Hanwha Impact</t>
        </is>
      </c>
      <c r="C73" s="1" t="inlineStr">
        <is>
          <t>Ulsan</t>
        </is>
      </c>
      <c r="D73" s="1" t="inlineStr">
        <is>
          <t>Ulsan Complex</t>
        </is>
      </c>
      <c r="E73" s="1" t="n">
        <v>1300</v>
      </c>
      <c r="F73" s="1" t="n">
        <v>1995</v>
      </c>
      <c r="G73" s="1" t="n">
        <v>30</v>
      </c>
    </row>
    <row r="74">
      <c r="A74" s="1" t="inlineStr">
        <is>
          <t>TPA</t>
        </is>
      </c>
      <c r="B74" s="1" t="inlineStr">
        <is>
          <t>Taekwang Industrial</t>
        </is>
      </c>
      <c r="C74" s="1" t="inlineStr">
        <is>
          <t>Ulsan</t>
        </is>
      </c>
      <c r="D74" s="1" t="inlineStr">
        <is>
          <t>Ulsan Complex</t>
        </is>
      </c>
      <c r="E74" s="1" t="n">
        <v>1000</v>
      </c>
      <c r="F74" s="1" t="n">
        <v>1980</v>
      </c>
      <c r="G74" s="1" t="n">
        <v>45</v>
      </c>
    </row>
    <row r="75">
      <c r="A75" s="1" t="inlineStr">
        <is>
          <t>TPA</t>
        </is>
      </c>
      <c r="B75" s="1" t="inlineStr">
        <is>
          <t>Hyosung Chemical</t>
        </is>
      </c>
      <c r="C75" s="1" t="inlineStr">
        <is>
          <t>Ulsan</t>
        </is>
      </c>
      <c r="D75" s="1" t="inlineStr">
        <is>
          <t>Ulsan Complex</t>
        </is>
      </c>
      <c r="E75" s="1" t="n">
        <v>420</v>
      </c>
      <c r="F75" s="1" t="n">
        <v>1997</v>
      </c>
      <c r="G75" s="1" t="n">
        <v>28</v>
      </c>
    </row>
    <row r="76">
      <c r="A76" s="1" t="inlineStr">
        <is>
          <t>PIA</t>
        </is>
      </c>
      <c r="B76" s="1" t="inlineStr">
        <is>
          <t>Lotte Chemical</t>
        </is>
      </c>
      <c r="C76" s="1" t="inlineStr">
        <is>
          <t>Ulsan</t>
        </is>
      </c>
      <c r="D76" s="1" t="inlineStr">
        <is>
          <t>Ulsan Complex</t>
        </is>
      </c>
      <c r="E76" s="1" t="n">
        <v>0</v>
      </c>
      <c r="F76" s="1" t="n">
        <v>1998</v>
      </c>
      <c r="G76" s="1" t="n">
        <v>27</v>
      </c>
    </row>
    <row r="77">
      <c r="A77" s="1" t="inlineStr">
        <is>
          <t>CPLM</t>
        </is>
      </c>
      <c r="B77" s="1" t="inlineStr">
        <is>
          <t>Caprolactam</t>
        </is>
      </c>
      <c r="C77" s="1" t="inlineStr">
        <is>
          <t>Ulsan</t>
        </is>
      </c>
      <c r="D77" s="1" t="inlineStr">
        <is>
          <t>Ulsan Complex</t>
        </is>
      </c>
      <c r="E77" s="1" t="n">
        <v>270</v>
      </c>
      <c r="F77" s="1" t="n">
        <v>1974</v>
      </c>
      <c r="G77" s="1" t="n">
        <v>51</v>
      </c>
    </row>
    <row r="78">
      <c r="A78" s="1" t="inlineStr">
        <is>
          <t>DMT</t>
        </is>
      </c>
      <c r="B78" s="1" t="inlineStr">
        <is>
          <t>SK Chemical</t>
        </is>
      </c>
      <c r="C78" s="1" t="inlineStr">
        <is>
          <t>Ulsan</t>
        </is>
      </c>
      <c r="D78" s="1" t="inlineStr">
        <is>
          <t>Ulsan Complex</t>
        </is>
      </c>
      <c r="E78" s="1" t="n">
        <v>160</v>
      </c>
      <c r="F78" s="1" t="n">
        <v>1989</v>
      </c>
      <c r="G78" s="1" t="n">
        <v>36</v>
      </c>
    </row>
    <row r="79">
      <c r="A79" s="1" t="inlineStr">
        <is>
          <t>EG</t>
        </is>
      </c>
      <c r="B79" s="1" t="inlineStr">
        <is>
          <t>Lotte Chemical</t>
        </is>
      </c>
      <c r="C79" s="1" t="inlineStr">
        <is>
          <t>Daesan</t>
        </is>
      </c>
      <c r="D79" s="1" t="inlineStr">
        <is>
          <t>Daesan Complex</t>
        </is>
      </c>
      <c r="E79" s="1" t="n">
        <v>730</v>
      </c>
      <c r="F79" s="1" t="n">
        <v>2005</v>
      </c>
      <c r="G79" s="1" t="n">
        <v>20</v>
      </c>
    </row>
    <row r="80">
      <c r="A80" s="1" t="inlineStr">
        <is>
          <t>EG</t>
        </is>
      </c>
      <c r="B80" s="1" t="inlineStr">
        <is>
          <t>LG Chem</t>
        </is>
      </c>
      <c r="C80" s="1" t="inlineStr">
        <is>
          <t>Daesan</t>
        </is>
      </c>
      <c r="D80" s="1" t="inlineStr">
        <is>
          <t>Daesan Complex</t>
        </is>
      </c>
      <c r="E80" s="1" t="n">
        <v>0</v>
      </c>
      <c r="F80" s="1" t="n">
        <v>2006</v>
      </c>
      <c r="G80" s="1" t="n">
        <v>19</v>
      </c>
    </row>
    <row r="81">
      <c r="A81" s="1" t="inlineStr">
        <is>
          <t>EG</t>
        </is>
      </c>
      <c r="B81" s="1" t="inlineStr">
        <is>
          <t>Hanwha TotalEnergies</t>
        </is>
      </c>
      <c r="C81" s="1" t="inlineStr">
        <is>
          <t>Daesan</t>
        </is>
      </c>
      <c r="D81" s="1" t="inlineStr">
        <is>
          <t>Daesan Complex</t>
        </is>
      </c>
      <c r="E81" s="1" t="n">
        <v>218</v>
      </c>
      <c r="F81" s="1" t="n">
        <v>1991</v>
      </c>
      <c r="G81" s="1" t="n">
        <v>34</v>
      </c>
    </row>
    <row r="82">
      <c r="A82" s="1" t="inlineStr">
        <is>
          <t>EG</t>
        </is>
      </c>
      <c r="B82" s="1" t="inlineStr">
        <is>
          <t>Lotte Chemical</t>
        </is>
      </c>
      <c r="C82" s="1" t="inlineStr">
        <is>
          <t>Yeosu</t>
        </is>
      </c>
      <c r="D82" s="1" t="inlineStr">
        <is>
          <t>Yeosu Complex</t>
        </is>
      </c>
      <c r="E82" s="1" t="n">
        <v>400</v>
      </c>
      <c r="F82" s="1" t="n">
        <v>1979</v>
      </c>
      <c r="G82" s="1" t="n">
        <v>46</v>
      </c>
    </row>
    <row r="83">
      <c r="A83" s="1" t="inlineStr">
        <is>
          <t>EG</t>
        </is>
      </c>
      <c r="B83" s="1" t="inlineStr">
        <is>
          <t>Daehan Oil Chemical</t>
        </is>
      </c>
      <c r="C83" s="1" t="inlineStr">
        <is>
          <t>Ulsan</t>
        </is>
      </c>
      <c r="D83" s="1" t="inlineStr">
        <is>
          <t>Ulsan Complex</t>
        </is>
      </c>
      <c r="E83" s="1" t="n">
        <v>200</v>
      </c>
      <c r="F83" s="1" t="n">
        <v>2014</v>
      </c>
      <c r="G83" s="1" t="n">
        <v>11</v>
      </c>
    </row>
    <row r="84">
      <c r="A84" s="1" t="inlineStr">
        <is>
          <t>AN</t>
        </is>
      </c>
      <c r="B84" s="1" t="inlineStr">
        <is>
          <t>Dongseo Petrochemical</t>
        </is>
      </c>
      <c r="C84" s="1" t="inlineStr">
        <is>
          <t>Ulsan</t>
        </is>
      </c>
      <c r="D84" s="1" t="inlineStr">
        <is>
          <t>Ulsan Complex</t>
        </is>
      </c>
      <c r="E84" s="1" t="n">
        <v>602</v>
      </c>
      <c r="F84" s="1" t="n">
        <v>1972</v>
      </c>
      <c r="G84" s="1" t="n">
        <v>53</v>
      </c>
    </row>
    <row r="85">
      <c r="A85" s="1" t="inlineStr">
        <is>
          <t>AN</t>
        </is>
      </c>
      <c r="B85" s="1" t="inlineStr">
        <is>
          <t>Taekwang Industrial</t>
        </is>
      </c>
      <c r="C85" s="1" t="inlineStr">
        <is>
          <t>Ulsan</t>
        </is>
      </c>
      <c r="D85" s="1" t="inlineStr">
        <is>
          <t>Ulsan Complex</t>
        </is>
      </c>
      <c r="E85" s="1" t="n">
        <v>290</v>
      </c>
      <c r="F85" s="1" t="n">
        <v>1997</v>
      </c>
      <c r="G85" s="1" t="n">
        <v>28</v>
      </c>
    </row>
    <row r="86">
      <c r="A86" s="1" t="inlineStr">
        <is>
          <t>SBR</t>
        </is>
      </c>
      <c r="B86" s="1" t="inlineStr">
        <is>
          <t>LG Chem</t>
        </is>
      </c>
      <c r="C86" s="1" t="inlineStr">
        <is>
          <t>Daesan</t>
        </is>
      </c>
      <c r="D86" s="1" t="inlineStr">
        <is>
          <t>Daesan Complex</t>
        </is>
      </c>
      <c r="E86" s="1" t="n">
        <v>80</v>
      </c>
      <c r="F86" s="1" t="n">
        <v>1996</v>
      </c>
      <c r="G86" s="1" t="n">
        <v>29</v>
      </c>
    </row>
    <row r="87">
      <c r="A87" s="1" t="inlineStr">
        <is>
          <t>SBR</t>
        </is>
      </c>
      <c r="B87" s="1" t="inlineStr">
        <is>
          <t>Kumho Petrochemical</t>
        </is>
      </c>
      <c r="C87" s="1" t="inlineStr">
        <is>
          <t>Ulsan</t>
        </is>
      </c>
      <c r="D87" s="1" t="inlineStr">
        <is>
          <t>Ulsan Complex</t>
        </is>
      </c>
      <c r="E87" s="1" t="n">
        <v>183</v>
      </c>
      <c r="F87" s="1" t="n">
        <v>1973</v>
      </c>
      <c r="G87" s="1" t="n">
        <v>52</v>
      </c>
    </row>
    <row r="88">
      <c r="A88" s="1" t="inlineStr">
        <is>
          <t>S-SBR</t>
        </is>
      </c>
      <c r="B88" s="1" t="inlineStr">
        <is>
          <t>LG Chem</t>
        </is>
      </c>
      <c r="C88" s="1" t="inlineStr">
        <is>
          <t>Daesan</t>
        </is>
      </c>
      <c r="D88" s="1" t="inlineStr">
        <is>
          <t>Daesan Complex</t>
        </is>
      </c>
      <c r="E88" s="1" t="n">
        <v>80</v>
      </c>
      <c r="F88" s="1" t="n">
        <v>2012</v>
      </c>
      <c r="G88" s="1" t="n">
        <v>13</v>
      </c>
    </row>
    <row r="89">
      <c r="A89" s="1" t="inlineStr">
        <is>
          <t>S-SBR</t>
        </is>
      </c>
      <c r="B89" s="1" t="inlineStr">
        <is>
          <t>Kumho Petrochemical</t>
        </is>
      </c>
      <c r="C89" s="1" t="inlineStr">
        <is>
          <t>Yeosu</t>
        </is>
      </c>
      <c r="D89" s="1" t="inlineStr">
        <is>
          <t>Yeosu Complex</t>
        </is>
      </c>
      <c r="E89" s="1" t="n">
        <v>123</v>
      </c>
      <c r="F89" s="1" t="n">
        <v>2012</v>
      </c>
      <c r="G89" s="1" t="n">
        <v>13</v>
      </c>
    </row>
    <row r="90">
      <c r="A90" s="1" t="inlineStr">
        <is>
          <t>S-SBR</t>
        </is>
      </c>
      <c r="B90" s="1" t="inlineStr">
        <is>
          <t>Lotte Versalis Elastomers</t>
        </is>
      </c>
      <c r="C90" s="1" t="inlineStr">
        <is>
          <t>Yeosu</t>
        </is>
      </c>
      <c r="D90" s="1" t="inlineStr">
        <is>
          <t>Yeosu Complex</t>
        </is>
      </c>
      <c r="E90" s="1" t="n">
        <v>100</v>
      </c>
      <c r="F90" s="1" t="n">
        <v>2018</v>
      </c>
      <c r="G90" s="1" t="n">
        <v>7</v>
      </c>
    </row>
    <row r="91">
      <c r="A91" s="1" t="inlineStr">
        <is>
          <t>SB-Latex</t>
        </is>
      </c>
      <c r="B91" s="1" t="inlineStr">
        <is>
          <t>LG Chem</t>
        </is>
      </c>
      <c r="C91" s="1" t="inlineStr">
        <is>
          <t>Daesan</t>
        </is>
      </c>
      <c r="D91" s="1" t="inlineStr">
        <is>
          <t>Daesan Complex</t>
        </is>
      </c>
      <c r="E91" s="1" t="n">
        <v>20</v>
      </c>
      <c r="F91" s="1" t="n">
        <v>1996</v>
      </c>
      <c r="G91" s="1" t="n">
        <v>29</v>
      </c>
    </row>
    <row r="92">
      <c r="A92" s="1" t="inlineStr">
        <is>
          <t>SB-Latex</t>
        </is>
      </c>
      <c r="B92" s="1" t="inlineStr">
        <is>
          <t>Kumho Petrochemical</t>
        </is>
      </c>
      <c r="C92" s="1" t="inlineStr">
        <is>
          <t>Ulsan</t>
        </is>
      </c>
      <c r="D92" s="1" t="inlineStr">
        <is>
          <t>Ulsan Complex</t>
        </is>
      </c>
      <c r="E92" s="1" t="n">
        <v>85</v>
      </c>
      <c r="F92" s="1" t="n">
        <v>1983</v>
      </c>
      <c r="G92" s="1" t="n">
        <v>42</v>
      </c>
    </row>
    <row r="93">
      <c r="A93" s="1" t="inlineStr">
        <is>
          <t>SB-Latex</t>
        </is>
      </c>
      <c r="B93" s="1" t="inlineStr">
        <is>
          <t>Korea Trinseo</t>
        </is>
      </c>
      <c r="C93" s="1" t="inlineStr">
        <is>
          <t>Ulsan</t>
        </is>
      </c>
      <c r="D93" s="1" t="inlineStr">
        <is>
          <t>Ulsan Complex</t>
        </is>
      </c>
      <c r="E93" s="1" t="n">
        <v>43</v>
      </c>
      <c r="F93" s="1" t="n">
        <v>1990</v>
      </c>
      <c r="G93" s="1" t="n">
        <v>35</v>
      </c>
    </row>
    <row r="94">
      <c r="A94" s="1" t="inlineStr">
        <is>
          <t>SB-Latex</t>
        </is>
      </c>
      <c r="B94" s="1" t="inlineStr">
        <is>
          <t>Hansol Chemical</t>
        </is>
      </c>
      <c r="C94" s="1" t="inlineStr">
        <is>
          <t>Jeonju</t>
        </is>
      </c>
      <c r="D94" s="1" t="inlineStr">
        <is>
          <t>Other Regions</t>
        </is>
      </c>
      <c r="E94" s="1" t="n">
        <v>60</v>
      </c>
      <c r="F94" s="1" t="n">
        <v>1996</v>
      </c>
      <c r="G94" s="1" t="n">
        <v>29</v>
      </c>
    </row>
    <row r="95">
      <c r="A95" s="1" t="inlineStr">
        <is>
          <t>BR</t>
        </is>
      </c>
      <c r="B95" s="1" t="inlineStr">
        <is>
          <t>LG Chem</t>
        </is>
      </c>
      <c r="C95" s="1" t="inlineStr">
        <is>
          <t>Daesan</t>
        </is>
      </c>
      <c r="D95" s="1" t="inlineStr">
        <is>
          <t>Daesan Complex</t>
        </is>
      </c>
      <c r="E95" s="1" t="n">
        <v>220</v>
      </c>
      <c r="F95" s="1" t="n">
        <v>1996</v>
      </c>
      <c r="G95" s="1" t="n">
        <v>29</v>
      </c>
    </row>
    <row r="96">
      <c r="A96" s="1" t="inlineStr">
        <is>
          <t>BR</t>
        </is>
      </c>
      <c r="B96" s="1" t="inlineStr">
        <is>
          <t>Kumho Petrochemical</t>
        </is>
      </c>
      <c r="C96" s="1" t="inlineStr">
        <is>
          <t>Yeosu</t>
        </is>
      </c>
      <c r="D96" s="1" t="inlineStr">
        <is>
          <t>Yeosu Complex</t>
        </is>
      </c>
      <c r="E96" s="1" t="n">
        <v>275</v>
      </c>
      <c r="F96" s="1" t="n">
        <v>1980</v>
      </c>
      <c r="G96" s="1" t="n">
        <v>45</v>
      </c>
    </row>
    <row r="97">
      <c r="A97" s="1" t="inlineStr">
        <is>
          <t>NBR</t>
        </is>
      </c>
      <c r="B97" s="1" t="inlineStr">
        <is>
          <t>LG Chem</t>
        </is>
      </c>
      <c r="C97" s="1" t="inlineStr">
        <is>
          <t>Daesan</t>
        </is>
      </c>
      <c r="D97" s="1" t="inlineStr">
        <is>
          <t>Daesan Complex</t>
        </is>
      </c>
      <c r="E97" s="1" t="n">
        <v>65</v>
      </c>
      <c r="F97" s="1" t="n">
        <v>1996</v>
      </c>
      <c r="G97" s="1" t="n">
        <v>29</v>
      </c>
    </row>
    <row r="98">
      <c r="A98" s="1" t="inlineStr">
        <is>
          <t>NBR</t>
        </is>
      </c>
      <c r="B98" s="1" t="inlineStr">
        <is>
          <t>Kumho Petrochemical</t>
        </is>
      </c>
      <c r="C98" s="1" t="inlineStr">
        <is>
          <t>Ulsan</t>
        </is>
      </c>
      <c r="D98" s="1" t="inlineStr">
        <is>
          <t>Ulsan Complex</t>
        </is>
      </c>
      <c r="E98" s="1" t="n">
        <v>92</v>
      </c>
      <c r="F98" s="1" t="n">
        <v>1987</v>
      </c>
      <c r="G98" s="1" t="n">
        <v>38</v>
      </c>
    </row>
    <row r="99">
      <c r="A99" s="1" t="inlineStr">
        <is>
          <t>NB-Latex</t>
        </is>
      </c>
      <c r="B99" s="1" t="inlineStr">
        <is>
          <t>LG Chem</t>
        </is>
      </c>
      <c r="C99" s="1" t="inlineStr">
        <is>
          <t>Yeosu</t>
        </is>
      </c>
      <c r="D99" s="1" t="inlineStr">
        <is>
          <t>Yeosu Complex</t>
        </is>
      </c>
      <c r="E99" s="1" t="n">
        <v>205</v>
      </c>
      <c r="F99" s="1" t="n">
        <v>2008</v>
      </c>
      <c r="G99" s="1" t="n">
        <v>17</v>
      </c>
    </row>
    <row r="100">
      <c r="A100" s="1" t="inlineStr">
        <is>
          <t>NB-Latex</t>
        </is>
      </c>
      <c r="B100" s="1" t="inlineStr">
        <is>
          <t>Kumho Petrochemical</t>
        </is>
      </c>
      <c r="C100" s="1" t="inlineStr">
        <is>
          <t>Ulsan</t>
        </is>
      </c>
      <c r="D100" s="1" t="inlineStr">
        <is>
          <t>Ulsan Complex</t>
        </is>
      </c>
      <c r="E100" s="1" t="n">
        <v>946</v>
      </c>
      <c r="F100" s="1" t="n">
        <v>2012</v>
      </c>
      <c r="G100" s="1" t="n">
        <v>13</v>
      </c>
    </row>
    <row r="101">
      <c r="A101" s="1" t="inlineStr">
        <is>
          <t>NB-Latex</t>
        </is>
      </c>
      <c r="B101" s="1" t="inlineStr">
        <is>
          <t>Hansol Chemical</t>
        </is>
      </c>
      <c r="C101" s="1" t="inlineStr">
        <is>
          <t>Jeonju</t>
        </is>
      </c>
      <c r="D101" s="1" t="inlineStr">
        <is>
          <t>Other Regions</t>
        </is>
      </c>
      <c r="E101" s="1" t="n">
        <v>28</v>
      </c>
      <c r="F101" s="1" t="n">
        <v>2021</v>
      </c>
      <c r="G101" s="1" t="n">
        <v>4</v>
      </c>
    </row>
    <row r="102">
      <c r="A102" s="1" t="inlineStr">
        <is>
          <t>EPDM</t>
        </is>
      </c>
      <c r="B102" s="1" t="inlineStr">
        <is>
          <t>Kumho Polychem</t>
        </is>
      </c>
      <c r="C102" s="1" t="inlineStr">
        <is>
          <t>Yeosu</t>
        </is>
      </c>
      <c r="D102" s="1" t="inlineStr">
        <is>
          <t>Yeosu Complex</t>
        </is>
      </c>
      <c r="E102" s="1" t="n">
        <v>310</v>
      </c>
      <c r="F102" s="1" t="n">
        <v>1987</v>
      </c>
      <c r="G102" s="1" t="n">
        <v>38</v>
      </c>
    </row>
    <row r="103">
      <c r="A103" s="1" t="inlineStr">
        <is>
          <t>EPDM</t>
        </is>
      </c>
      <c r="B103" s="1" t="inlineStr">
        <is>
          <t>Lotte Versalis Elastomers</t>
        </is>
      </c>
      <c r="C103" s="1" t="inlineStr">
        <is>
          <t>Yeosu</t>
        </is>
      </c>
      <c r="D103" s="1" t="inlineStr">
        <is>
          <t>Yeosu Complex</t>
        </is>
      </c>
      <c r="E103" s="1" t="n">
        <v>96</v>
      </c>
      <c r="F103" s="1" t="n">
        <v>2018</v>
      </c>
      <c r="G103" s="1" t="n">
        <v>7</v>
      </c>
    </row>
    <row r="104">
      <c r="A104" s="1" t="inlineStr">
        <is>
          <t>Acetic Acid</t>
        </is>
      </c>
      <c r="B104" s="1" t="inlineStr">
        <is>
          <t>Lotte INEOS Chemical</t>
        </is>
      </c>
      <c r="C104" s="1" t="inlineStr">
        <is>
          <t>Ulsan</t>
        </is>
      </c>
      <c r="D104" s="1" t="inlineStr">
        <is>
          <t>Ulsan Complex</t>
        </is>
      </c>
      <c r="E104" s="1" t="n">
        <v>710</v>
      </c>
      <c r="F104" s="1" t="n">
        <v>1991</v>
      </c>
      <c r="G104" s="1" t="n">
        <v>34</v>
      </c>
    </row>
    <row r="105">
      <c r="A105" s="1" t="inlineStr">
        <is>
          <t>Vinyl Acetate</t>
        </is>
      </c>
      <c r="B105" s="1" t="inlineStr">
        <is>
          <t>Lotte INEOS Chemical</t>
        </is>
      </c>
      <c r="C105" s="1" t="inlineStr">
        <is>
          <t>Ulsan</t>
        </is>
      </c>
      <c r="D105" s="1" t="inlineStr">
        <is>
          <t>Ulsan Complex</t>
        </is>
      </c>
      <c r="E105" s="1" t="n">
        <v>460</v>
      </c>
      <c r="F105" s="1" t="n">
        <v>1996</v>
      </c>
      <c r="G105" s="1" t="n">
        <v>29</v>
      </c>
    </row>
    <row r="106">
      <c r="A106" s="1" t="inlineStr">
        <is>
          <t>Ethanol</t>
        </is>
      </c>
      <c r="B106" s="1" t="inlineStr">
        <is>
          <t>Korea Alcohol Industrial</t>
        </is>
      </c>
      <c r="C106" s="1" t="inlineStr">
        <is>
          <t>Ulsan</t>
        </is>
      </c>
      <c r="D106" s="1" t="inlineStr">
        <is>
          <t>Ulsan Complex</t>
        </is>
      </c>
      <c r="E106" s="1" t="n">
        <v>70</v>
      </c>
      <c r="F106" s="1" t="n">
        <v>1974</v>
      </c>
      <c r="G106" s="1" t="n">
        <v>51</v>
      </c>
    </row>
    <row r="107">
      <c r="A107" s="1" t="inlineStr">
        <is>
          <t>Ethyl Acetate</t>
        </is>
      </c>
      <c r="B107" s="1" t="inlineStr">
        <is>
          <t>Korea Alcohol Industrial</t>
        </is>
      </c>
      <c r="C107" s="1" t="inlineStr">
        <is>
          <t>Ulsan</t>
        </is>
      </c>
      <c r="D107" s="1" t="inlineStr">
        <is>
          <t>Ulsan Complex</t>
        </is>
      </c>
      <c r="E107" s="1" t="n">
        <v>123</v>
      </c>
      <c r="F107" s="1" t="n">
        <v>1989</v>
      </c>
      <c r="G107" s="1" t="n">
        <v>36</v>
      </c>
    </row>
    <row r="108">
      <c r="A108" s="1" t="inlineStr">
        <is>
          <t>Alkylbenzene</t>
        </is>
      </c>
      <c r="B108" s="1" t="inlineStr">
        <is>
          <t>ISU Chemical</t>
        </is>
      </c>
      <c r="C108" s="1" t="inlineStr">
        <is>
          <t>Ulsan</t>
        </is>
      </c>
      <c r="D108" s="1" t="inlineStr">
        <is>
          <t>Ulsan Complex</t>
        </is>
      </c>
      <c r="E108" s="1" t="n">
        <v>180</v>
      </c>
      <c r="F108" s="1" t="n">
        <v>1973</v>
      </c>
      <c r="G108" s="1" t="n">
        <v>52</v>
      </c>
    </row>
    <row r="109">
      <c r="A109" s="1" t="inlineStr">
        <is>
          <t>PA</t>
        </is>
      </c>
      <c r="B109" s="1" t="inlineStr">
        <is>
          <t>LG Chem</t>
        </is>
      </c>
      <c r="C109" s="1" t="inlineStr">
        <is>
          <t>Yeosu</t>
        </is>
      </c>
      <c r="D109" s="1" t="inlineStr">
        <is>
          <t>Yeosu Complex</t>
        </is>
      </c>
      <c r="E109" s="1" t="n">
        <v>0</v>
      </c>
      <c r="F109" s="1" t="n">
        <v>1992</v>
      </c>
      <c r="G109" s="1" t="n">
        <v>33</v>
      </c>
    </row>
    <row r="110">
      <c r="A110" s="1" t="inlineStr">
        <is>
          <t>PA</t>
        </is>
      </c>
      <c r="B110" s="1" t="inlineStr">
        <is>
          <t>Aekyung Chemical</t>
        </is>
      </c>
      <c r="C110" s="1" t="inlineStr">
        <is>
          <t>Ulsan</t>
        </is>
      </c>
      <c r="D110" s="1" t="inlineStr">
        <is>
          <t>Ulsan Complex</t>
        </is>
      </c>
      <c r="E110" s="1" t="n">
        <v>210</v>
      </c>
      <c r="F110" s="1" t="n">
        <v>1972</v>
      </c>
      <c r="G110" s="1" t="n">
        <v>53</v>
      </c>
    </row>
    <row r="111">
      <c r="A111" s="1" t="inlineStr">
        <is>
          <t>PA</t>
        </is>
      </c>
      <c r="B111" s="1" t="inlineStr">
        <is>
          <t>Hanwha Solutions</t>
        </is>
      </c>
      <c r="C111" s="1" t="inlineStr">
        <is>
          <t>Ulsan</t>
        </is>
      </c>
      <c r="D111" s="1" t="inlineStr">
        <is>
          <t>Ulsan Complex</t>
        </is>
      </c>
      <c r="E111" s="1" t="n">
        <v>0</v>
      </c>
      <c r="F111" s="1" t="n">
        <v>1997</v>
      </c>
      <c r="G111" s="1" t="n">
        <v>28</v>
      </c>
    </row>
    <row r="112">
      <c r="A112" s="1" t="inlineStr">
        <is>
          <t>PA</t>
        </is>
      </c>
      <c r="B112" s="1" t="inlineStr">
        <is>
          <t>OCI</t>
        </is>
      </c>
      <c r="C112" s="1" t="inlineStr">
        <is>
          <t>Pohang</t>
        </is>
      </c>
      <c r="D112" s="1" t="inlineStr">
        <is>
          <t>Other Regions</t>
        </is>
      </c>
      <c r="E112" s="1" t="n">
        <v>60</v>
      </c>
      <c r="F112" s="1" t="n">
        <v>1983</v>
      </c>
      <c r="G112" s="1" t="n">
        <v>42</v>
      </c>
    </row>
    <row r="113">
      <c r="A113" s="1" t="inlineStr">
        <is>
          <t>MA</t>
        </is>
      </c>
      <c r="B113" s="1" t="inlineStr">
        <is>
          <t>Aekyung Chemical</t>
        </is>
      </c>
      <c r="C113" s="1" t="inlineStr">
        <is>
          <t>Ulsan</t>
        </is>
      </c>
      <c r="D113" s="1" t="inlineStr">
        <is>
          <t>Ulsan Complex</t>
        </is>
      </c>
      <c r="E113" s="1" t="n">
        <v>8</v>
      </c>
      <c r="F113" s="1" t="n">
        <v>1988</v>
      </c>
      <c r="G113" s="1" t="n">
        <v>37</v>
      </c>
    </row>
    <row r="114">
      <c r="A114" s="1" t="inlineStr">
        <is>
          <t>MA</t>
        </is>
      </c>
      <c r="B114" s="1" t="inlineStr">
        <is>
          <t>Yongsan Chemical</t>
        </is>
      </c>
      <c r="C114" s="1" t="inlineStr">
        <is>
          <t>Ulsan</t>
        </is>
      </c>
      <c r="D114" s="1" t="inlineStr">
        <is>
          <t>Ulsan Complex</t>
        </is>
      </c>
      <c r="E114" s="1" t="n">
        <v>38</v>
      </c>
      <c r="F114" s="1" t="n">
        <v>1976</v>
      </c>
      <c r="G114" s="1" t="n">
        <v>49</v>
      </c>
    </row>
    <row r="115">
      <c r="A115" s="1" t="inlineStr">
        <is>
          <t>MA</t>
        </is>
      </c>
      <c r="B115" s="1" t="inlineStr">
        <is>
          <t>Korea PTG</t>
        </is>
      </c>
      <c r="C115" s="1" t="inlineStr">
        <is>
          <t>Ulsan</t>
        </is>
      </c>
      <c r="D115" s="1" t="inlineStr">
        <is>
          <t>Ulsan Complex</t>
        </is>
      </c>
      <c r="E115" s="1" t="n">
        <v>30</v>
      </c>
      <c r="F115" s="1" t="n">
        <v>1992</v>
      </c>
      <c r="G115" s="1" t="n">
        <v>33</v>
      </c>
    </row>
    <row r="116">
      <c r="A116" s="1" t="inlineStr">
        <is>
          <t>MA</t>
        </is>
      </c>
      <c r="B116" s="1" t="inlineStr">
        <is>
          <t>Hanwha Solutions</t>
        </is>
      </c>
      <c r="C116" s="1" t="inlineStr">
        <is>
          <t>Ulsan</t>
        </is>
      </c>
      <c r="D116" s="1" t="inlineStr">
        <is>
          <t>Ulsan Complex</t>
        </is>
      </c>
      <c r="E116" s="1" t="n">
        <v>0</v>
      </c>
      <c r="F116" s="1" t="n">
        <v>1998</v>
      </c>
      <c r="G116" s="1" t="n">
        <v>27</v>
      </c>
    </row>
    <row r="117">
      <c r="A117" s="1" t="inlineStr">
        <is>
          <t>TDI</t>
        </is>
      </c>
      <c r="B117" s="1" t="inlineStr">
        <is>
          <t>OCI</t>
        </is>
      </c>
      <c r="C117" s="1" t="inlineStr">
        <is>
          <t>Gunsan</t>
        </is>
      </c>
      <c r="D117" s="1" t="inlineStr">
        <is>
          <t>Other Regions</t>
        </is>
      </c>
      <c r="E117" s="1" t="n">
        <v>50</v>
      </c>
      <c r="F117" s="1" t="n">
        <v>1990</v>
      </c>
      <c r="G117" s="1" t="n">
        <v>35</v>
      </c>
    </row>
    <row r="118">
      <c r="A118" s="1" t="inlineStr">
        <is>
          <t>TDI</t>
        </is>
      </c>
      <c r="B118" s="1" t="inlineStr">
        <is>
          <t>BASF Korea</t>
        </is>
      </c>
      <c r="C118" s="1" t="inlineStr">
        <is>
          <t>Yeosu</t>
        </is>
      </c>
      <c r="D118" s="1" t="inlineStr">
        <is>
          <t>Yeosu Complex</t>
        </is>
      </c>
      <c r="E118" s="1" t="n">
        <v>160</v>
      </c>
      <c r="F118" s="1" t="n">
        <v>1988</v>
      </c>
      <c r="G118" s="1" t="n">
        <v>37</v>
      </c>
    </row>
    <row r="119">
      <c r="A119" s="1" t="inlineStr">
        <is>
          <t>TDI</t>
        </is>
      </c>
      <c r="B119" s="1" t="inlineStr">
        <is>
          <t>Hanwha Solutions</t>
        </is>
      </c>
      <c r="C119" s="1" t="inlineStr">
        <is>
          <t>Yeosu</t>
        </is>
      </c>
      <c r="D119" s="1" t="inlineStr">
        <is>
          <t>Yeosu Complex</t>
        </is>
      </c>
      <c r="E119" s="1" t="n">
        <v>150</v>
      </c>
      <c r="F119" s="1" t="n">
        <v>1981</v>
      </c>
      <c r="G119" s="1" t="n">
        <v>44</v>
      </c>
    </row>
    <row r="120">
      <c r="A120" s="1" t="inlineStr">
        <is>
          <t>MDI</t>
        </is>
      </c>
      <c r="B120" s="1" t="inlineStr">
        <is>
          <t>Downing Chemical</t>
        </is>
      </c>
      <c r="C120" s="1" t="inlineStr">
        <is>
          <t>Yeosu</t>
        </is>
      </c>
      <c r="D120" s="1" t="inlineStr">
        <is>
          <t>Yeosu Complex</t>
        </is>
      </c>
      <c r="E120" s="1" t="n">
        <v>30</v>
      </c>
      <c r="F120" s="1" t="n">
        <v>2018</v>
      </c>
      <c r="G120" s="1" t="n">
        <v>7</v>
      </c>
    </row>
    <row r="121">
      <c r="A121" s="1" t="inlineStr">
        <is>
          <t>MDI</t>
        </is>
      </c>
      <c r="B121" s="1" t="inlineStr">
        <is>
          <t>Kumho Mitsui Chemical</t>
        </is>
      </c>
      <c r="C121" s="1" t="inlineStr">
        <is>
          <t>Yeosu</t>
        </is>
      </c>
      <c r="D121" s="1" t="inlineStr">
        <is>
          <t>Yeosu Complex</t>
        </is>
      </c>
      <c r="E121" s="1" t="n">
        <v>610</v>
      </c>
      <c r="F121" s="1" t="n">
        <v>1992</v>
      </c>
      <c r="G121" s="1" t="n">
        <v>33</v>
      </c>
    </row>
    <row r="122">
      <c r="A122" s="1" t="inlineStr">
        <is>
          <t>MDI</t>
        </is>
      </c>
      <c r="B122" s="1" t="inlineStr">
        <is>
          <t>BASF Korea</t>
        </is>
      </c>
      <c r="C122" s="1" t="inlineStr">
        <is>
          <t>Yeosu</t>
        </is>
      </c>
      <c r="D122" s="1" t="inlineStr">
        <is>
          <t>Yeosu Complex</t>
        </is>
      </c>
      <c r="E122" s="1" t="n">
        <v>250</v>
      </c>
      <c r="F122" s="1" t="n">
        <v>1992</v>
      </c>
      <c r="G122" s="1" t="n">
        <v>33</v>
      </c>
    </row>
    <row r="123">
      <c r="A123" s="1" t="inlineStr">
        <is>
          <t>Phenol</t>
        </is>
      </c>
      <c r="B123" s="1" t="inlineStr">
        <is>
          <t>LG Chem</t>
        </is>
      </c>
      <c r="C123" s="1" t="inlineStr">
        <is>
          <t>Daesan</t>
        </is>
      </c>
      <c r="D123" s="1" t="inlineStr">
        <is>
          <t>Daesan Complex</t>
        </is>
      </c>
      <c r="E123" s="1" t="n">
        <v>360</v>
      </c>
      <c r="F123" s="1" t="n">
        <v>2013</v>
      </c>
      <c r="G123" s="1" t="n">
        <v>12</v>
      </c>
    </row>
    <row r="124">
      <c r="A124" s="1" t="inlineStr">
        <is>
          <t>Phenol</t>
        </is>
      </c>
      <c r="B124" s="1" t="inlineStr">
        <is>
          <t>Kumho P&amp;B Chemical</t>
        </is>
      </c>
      <c r="C124" s="1" t="inlineStr">
        <is>
          <t>Yeosu</t>
        </is>
      </c>
      <c r="D124" s="1" t="inlineStr">
        <is>
          <t>Yeosu Complex</t>
        </is>
      </c>
      <c r="E124" s="1" t="n">
        <v>680</v>
      </c>
      <c r="F124" s="1" t="n">
        <v>1980</v>
      </c>
      <c r="G124" s="1" t="n">
        <v>45</v>
      </c>
    </row>
    <row r="125">
      <c r="A125" s="1" t="inlineStr">
        <is>
          <t>Phenol</t>
        </is>
      </c>
      <c r="B125" s="1" t="inlineStr">
        <is>
          <t>LG Chem</t>
        </is>
      </c>
      <c r="C125" s="1" t="inlineStr">
        <is>
          <t>Yeosu</t>
        </is>
      </c>
      <c r="D125" s="1" t="inlineStr">
        <is>
          <t>Yeosu Complex</t>
        </is>
      </c>
      <c r="E125" s="1" t="n">
        <v>350</v>
      </c>
      <c r="F125" s="1" t="n">
        <v>2005</v>
      </c>
      <c r="G125" s="1" t="n">
        <v>20</v>
      </c>
    </row>
    <row r="126">
      <c r="A126" s="1" t="inlineStr">
        <is>
          <t>Acetone</t>
        </is>
      </c>
      <c r="B126" s="1" t="inlineStr">
        <is>
          <t>LG Chem</t>
        </is>
      </c>
      <c r="C126" s="1" t="inlineStr">
        <is>
          <t>Daesan</t>
        </is>
      </c>
      <c r="D126" s="1" t="inlineStr">
        <is>
          <t>Daesan Complex</t>
        </is>
      </c>
      <c r="E126" s="1" t="n">
        <v>225</v>
      </c>
      <c r="F126" s="1" t="n">
        <v>2013</v>
      </c>
      <c r="G126" s="1" t="n">
        <v>12</v>
      </c>
    </row>
    <row r="127">
      <c r="A127" s="1" t="inlineStr">
        <is>
          <t>Acetone</t>
        </is>
      </c>
      <c r="B127" s="1" t="inlineStr">
        <is>
          <t>Kumho P&amp;B Chemical</t>
        </is>
      </c>
      <c r="C127" s="1" t="inlineStr">
        <is>
          <t>Yeosu</t>
        </is>
      </c>
      <c r="D127" s="1" t="inlineStr">
        <is>
          <t>Yeosu Complex</t>
        </is>
      </c>
      <c r="E127" s="1" t="n">
        <v>420</v>
      </c>
      <c r="F127" s="1" t="n">
        <v>1980</v>
      </c>
      <c r="G127" s="1" t="n">
        <v>45</v>
      </c>
    </row>
    <row r="128">
      <c r="A128" s="1" t="inlineStr">
        <is>
          <t>Acetone</t>
        </is>
      </c>
      <c r="B128" s="1" t="inlineStr">
        <is>
          <t>LG Chem</t>
        </is>
      </c>
      <c r="C128" s="1" t="inlineStr">
        <is>
          <t>Yeosu</t>
        </is>
      </c>
      <c r="D128" s="1" t="inlineStr">
        <is>
          <t>Yeosu Complex</t>
        </is>
      </c>
      <c r="E128" s="1" t="n">
        <v>210</v>
      </c>
      <c r="F128" s="1" t="n">
        <v>2005</v>
      </c>
      <c r="G128" s="1" t="n">
        <v>20</v>
      </c>
    </row>
    <row r="129">
      <c r="A129" s="1" t="inlineStr">
        <is>
          <t>BPA</t>
        </is>
      </c>
      <c r="B129" s="1" t="inlineStr">
        <is>
          <t>Samyang Innochem</t>
        </is>
      </c>
      <c r="C129" s="1" t="inlineStr">
        <is>
          <t>Gunsan</t>
        </is>
      </c>
      <c r="D129" s="1" t="inlineStr">
        <is>
          <t>Other Regions</t>
        </is>
      </c>
      <c r="E129" s="1" t="n">
        <v>180</v>
      </c>
      <c r="F129" s="1" t="n">
        <v>2012</v>
      </c>
      <c r="G129" s="1" t="n">
        <v>13</v>
      </c>
    </row>
    <row r="130">
      <c r="A130" s="1" t="inlineStr">
        <is>
          <t>BPA</t>
        </is>
      </c>
      <c r="B130" s="1" t="inlineStr">
        <is>
          <t>LG Chem</t>
        </is>
      </c>
      <c r="C130" s="1" t="inlineStr">
        <is>
          <t>Daesan</t>
        </is>
      </c>
      <c r="D130" s="1" t="inlineStr">
        <is>
          <t>Daesan Complex</t>
        </is>
      </c>
      <c r="E130" s="1" t="n">
        <v>165</v>
      </c>
      <c r="F130" s="1" t="n">
        <v>2013</v>
      </c>
      <c r="G130" s="1" t="n">
        <v>12</v>
      </c>
    </row>
    <row r="131">
      <c r="A131" s="1" t="inlineStr">
        <is>
          <t>BPA</t>
        </is>
      </c>
      <c r="B131" s="1" t="inlineStr">
        <is>
          <t>Kumho P&amp;B Chemical</t>
        </is>
      </c>
      <c r="C131" s="1" t="inlineStr">
        <is>
          <t>Yeosu</t>
        </is>
      </c>
      <c r="D131" s="1" t="inlineStr">
        <is>
          <t>Yeosu Complex</t>
        </is>
      </c>
      <c r="E131" s="1" t="n">
        <v>450</v>
      </c>
      <c r="F131" s="1" t="n">
        <v>1991</v>
      </c>
      <c r="G131" s="1" t="n">
        <v>34</v>
      </c>
    </row>
    <row r="132">
      <c r="A132" s="1" t="inlineStr">
        <is>
          <t>BPA</t>
        </is>
      </c>
      <c r="B132" s="1" t="inlineStr">
        <is>
          <t>LG Chem</t>
        </is>
      </c>
      <c r="C132" s="1" t="inlineStr">
        <is>
          <t>Yeosu</t>
        </is>
      </c>
      <c r="D132" s="1" t="inlineStr">
        <is>
          <t>Yeosu Complex</t>
        </is>
      </c>
      <c r="E132" s="1" t="n">
        <v>330</v>
      </c>
      <c r="F132" s="1" t="n">
        <v>2005</v>
      </c>
      <c r="G132" s="1" t="n">
        <v>20</v>
      </c>
    </row>
    <row r="133">
      <c r="A133" s="1" t="inlineStr">
        <is>
          <t>Epoxy Resin</t>
        </is>
      </c>
      <c r="B133" s="1" t="inlineStr">
        <is>
          <t>Bluecube Chemical</t>
        </is>
      </c>
      <c r="C133" s="1" t="inlineStr">
        <is>
          <t>Gumi</t>
        </is>
      </c>
      <c r="D133" s="1" t="inlineStr">
        <is>
          <t>Other Regions</t>
        </is>
      </c>
      <c r="E133" s="1" t="n">
        <v>52</v>
      </c>
      <c r="F133" s="1" t="n">
        <v>1990</v>
      </c>
      <c r="G133" s="1" t="n">
        <v>35</v>
      </c>
    </row>
    <row r="134">
      <c r="A134" s="1" t="inlineStr">
        <is>
          <t>Epoxy Resin</t>
        </is>
      </c>
      <c r="B134" s="1" t="inlineStr">
        <is>
          <t>Kolon Industries</t>
        </is>
      </c>
      <c r="C134" s="1" t="inlineStr">
        <is>
          <t>Gimcheon</t>
        </is>
      </c>
      <c r="D134" s="1" t="inlineStr">
        <is>
          <t>Other Regions</t>
        </is>
      </c>
      <c r="E134" s="1" t="n">
        <v>0</v>
      </c>
      <c r="F134" s="1" t="n">
        <v>2007</v>
      </c>
      <c r="G134" s="1" t="n">
        <v>18</v>
      </c>
    </row>
    <row r="135">
      <c r="A135" s="1" t="inlineStr">
        <is>
          <t>Epoxy Resin</t>
        </is>
      </c>
      <c r="B135" s="1" t="inlineStr">
        <is>
          <t>Kukdo Chemical</t>
        </is>
      </c>
      <c r="C135" s="1" t="inlineStr">
        <is>
          <t>Busan/Iksan/Siheung</t>
        </is>
      </c>
      <c r="D135" s="1" t="inlineStr">
        <is>
          <t>Other Regions</t>
        </is>
      </c>
      <c r="E135" s="1" t="n">
        <v>530</v>
      </c>
      <c r="F135" s="1" t="n">
        <v>1973</v>
      </c>
      <c r="G135" s="1" t="n">
        <v>52</v>
      </c>
    </row>
    <row r="136">
      <c r="A136" s="1" t="inlineStr">
        <is>
          <t>Epoxy Resin</t>
        </is>
      </c>
      <c r="B136" s="1" t="inlineStr">
        <is>
          <t>Kumho P&amp;B Chemical</t>
        </is>
      </c>
      <c r="C136" s="1" t="inlineStr">
        <is>
          <t>Yeosu</t>
        </is>
      </c>
      <c r="D136" s="1" t="inlineStr">
        <is>
          <t>Yeosu Complex</t>
        </is>
      </c>
      <c r="E136" s="1" t="n">
        <v>338</v>
      </c>
      <c r="F136" s="1" t="n">
        <v>2019</v>
      </c>
      <c r="G136" s="1" t="n">
        <v>6</v>
      </c>
    </row>
    <row r="137">
      <c r="A137" s="1" t="inlineStr">
        <is>
          <t>Octanol</t>
        </is>
      </c>
      <c r="B137" s="1" t="inlineStr">
        <is>
          <t>LG Chem</t>
        </is>
      </c>
      <c r="C137" s="1" t="inlineStr">
        <is>
          <t>Naju</t>
        </is>
      </c>
      <c r="D137" s="1" t="inlineStr">
        <is>
          <t>Other Regions</t>
        </is>
      </c>
      <c r="E137" s="1" t="n">
        <v>125</v>
      </c>
      <c r="F137" s="1" t="n">
        <v>1982</v>
      </c>
      <c r="G137" s="1" t="n">
        <v>43</v>
      </c>
    </row>
    <row r="138">
      <c r="A138" s="1" t="inlineStr">
        <is>
          <t>Octanol</t>
        </is>
      </c>
      <c r="B138" s="1" t="inlineStr">
        <is>
          <t>LG Chem</t>
        </is>
      </c>
      <c r="C138" s="1" t="inlineStr">
        <is>
          <t>Yeosu</t>
        </is>
      </c>
      <c r="D138" s="1" t="inlineStr">
        <is>
          <t>Yeosu Complex</t>
        </is>
      </c>
      <c r="E138" s="1" t="n">
        <v>0</v>
      </c>
      <c r="F138" s="1" t="n">
        <v>1996</v>
      </c>
      <c r="G138" s="1" t="n">
        <v>29</v>
      </c>
    </row>
    <row r="139">
      <c r="A139" s="1" t="inlineStr">
        <is>
          <t>Octanol</t>
        </is>
      </c>
      <c r="B139" s="1" t="inlineStr">
        <is>
          <t>Hanwha Solutions</t>
        </is>
      </c>
      <c r="C139" s="1" t="inlineStr">
        <is>
          <t>Yeosu</t>
        </is>
      </c>
      <c r="D139" s="1" t="inlineStr">
        <is>
          <t>Yeosu Complex</t>
        </is>
      </c>
      <c r="E139" s="1" t="n">
        <v>152</v>
      </c>
      <c r="F139" s="1" t="n">
        <v>1997</v>
      </c>
      <c r="G139" s="1" t="n">
        <v>28</v>
      </c>
    </row>
    <row r="140">
      <c r="A140" s="1" t="inlineStr">
        <is>
          <t>Butanol</t>
        </is>
      </c>
      <c r="B140" s="1" t="inlineStr">
        <is>
          <t>LG Chem</t>
        </is>
      </c>
      <c r="C140" s="1" t="inlineStr">
        <is>
          <t>Naju</t>
        </is>
      </c>
      <c r="D140" s="1" t="inlineStr">
        <is>
          <t>Other Regions</t>
        </is>
      </c>
      <c r="E140" s="1" t="n">
        <v>55</v>
      </c>
      <c r="F140" s="1" t="n">
        <v>1982</v>
      </c>
      <c r="G140" s="1" t="n">
        <v>43</v>
      </c>
    </row>
    <row r="141">
      <c r="A141" s="1" t="inlineStr">
        <is>
          <t>Butanol</t>
        </is>
      </c>
      <c r="B141" s="1" t="inlineStr">
        <is>
          <t>Hanwha Solutions</t>
        </is>
      </c>
      <c r="C141" s="1" t="inlineStr">
        <is>
          <t>Yeosu</t>
        </is>
      </c>
      <c r="D141" s="1" t="inlineStr">
        <is>
          <t>Yeosu Complex</t>
        </is>
      </c>
      <c r="E141" s="1" t="n">
        <v>12</v>
      </c>
      <c r="F141" s="1" t="n">
        <v>1997</v>
      </c>
      <c r="G141" s="1" t="n">
        <v>28</v>
      </c>
    </row>
    <row r="142">
      <c r="A142" s="1" t="inlineStr">
        <is>
          <t>PPG</t>
        </is>
      </c>
      <c r="B142" s="1" t="inlineStr">
        <is>
          <t>Kumho Petrochemical</t>
        </is>
      </c>
      <c r="C142" s="1" t="inlineStr">
        <is>
          <t>Yeosu</t>
        </is>
      </c>
      <c r="D142" s="1" t="inlineStr">
        <is>
          <t>Yeosu Complex</t>
        </is>
      </c>
      <c r="E142" s="1" t="n">
        <v>152</v>
      </c>
      <c r="F142" s="1" t="n">
        <v>1997</v>
      </c>
      <c r="G142" s="1" t="n">
        <v>28</v>
      </c>
    </row>
    <row r="143">
      <c r="A143" s="1" t="inlineStr">
        <is>
          <t>PPG</t>
        </is>
      </c>
      <c r="B143" s="1" t="inlineStr">
        <is>
          <t>PU Core</t>
        </is>
      </c>
      <c r="C143" s="1" t="inlineStr">
        <is>
          <t>Ulsan</t>
        </is>
      </c>
      <c r="D143" s="1" t="inlineStr">
        <is>
          <t>Ulsan Complex</t>
        </is>
      </c>
      <c r="E143" s="1" t="n">
        <v>220</v>
      </c>
      <c r="F143" s="1" t="n">
        <v>1988</v>
      </c>
      <c r="G143" s="1" t="n">
        <v>37</v>
      </c>
    </row>
    <row r="144">
      <c r="A144" s="1" t="inlineStr">
        <is>
          <t>PPG</t>
        </is>
      </c>
      <c r="B144" s="1" t="inlineStr">
        <is>
          <t>KPX Chemical</t>
        </is>
      </c>
      <c r="C144" s="1" t="inlineStr">
        <is>
          <t>Ulsan</t>
        </is>
      </c>
      <c r="D144" s="1" t="inlineStr">
        <is>
          <t>Ulsan Complex</t>
        </is>
      </c>
      <c r="E144" s="1" t="n">
        <v>298</v>
      </c>
      <c r="F144" s="1" t="n">
        <v>1990</v>
      </c>
      <c r="G144" s="1" t="n">
        <v>35</v>
      </c>
    </row>
    <row r="145">
      <c r="A145" s="1" t="inlineStr">
        <is>
          <t>PPG</t>
        </is>
      </c>
      <c r="B145" s="1" t="inlineStr">
        <is>
          <t>BASF Korea</t>
        </is>
      </c>
      <c r="C145" s="1" t="inlineStr">
        <is>
          <t>Ulsan</t>
        </is>
      </c>
      <c r="D145" s="1" t="inlineStr">
        <is>
          <t>Ulsan Complex</t>
        </is>
      </c>
      <c r="E145" s="1" t="n">
        <v>119</v>
      </c>
      <c r="F145" s="1" t="n">
        <v>1975</v>
      </c>
      <c r="G145" s="1" t="n">
        <v>50</v>
      </c>
    </row>
    <row r="146">
      <c r="A146" s="1" t="inlineStr">
        <is>
          <t>MMA</t>
        </is>
      </c>
      <c r="B146" s="1" t="inlineStr">
        <is>
          <t>Lotte MCC</t>
        </is>
      </c>
      <c r="C146" s="1" t="inlineStr">
        <is>
          <t>Daesan</t>
        </is>
      </c>
      <c r="D146" s="1" t="inlineStr">
        <is>
          <t>Daesan Complex</t>
        </is>
      </c>
      <c r="E146" s="1" t="n">
        <v>90</v>
      </c>
      <c r="F146" s="1" t="n">
        <v>1995</v>
      </c>
      <c r="G146" s="1" t="n">
        <v>30</v>
      </c>
    </row>
    <row r="147">
      <c r="A147" s="1" t="inlineStr">
        <is>
          <t>MMA</t>
        </is>
      </c>
      <c r="B147" s="1" t="inlineStr">
        <is>
          <t>Lotte MCC</t>
        </is>
      </c>
      <c r="C147" s="1" t="inlineStr">
        <is>
          <t>Yeosu</t>
        </is>
      </c>
      <c r="D147" s="1" t="inlineStr">
        <is>
          <t>Yeosu Complex</t>
        </is>
      </c>
      <c r="E147" s="1" t="n">
        <v>97</v>
      </c>
      <c r="F147" s="1" t="n">
        <v>2009</v>
      </c>
      <c r="G147" s="1" t="n">
        <v>16</v>
      </c>
    </row>
    <row r="148">
      <c r="A148" s="1" t="inlineStr">
        <is>
          <t>MMA</t>
        </is>
      </c>
      <c r="B148" s="1" t="inlineStr">
        <is>
          <t>Lotte Chemical</t>
        </is>
      </c>
      <c r="C148" s="1" t="inlineStr">
        <is>
          <t>Yeosu</t>
        </is>
      </c>
      <c r="D148" s="1" t="inlineStr">
        <is>
          <t>Yeosu Complex</t>
        </is>
      </c>
      <c r="E148" s="1" t="n">
        <v>50</v>
      </c>
      <c r="F148" s="1" t="n">
        <v>2013</v>
      </c>
      <c r="G148" s="1" t="n">
        <v>12</v>
      </c>
    </row>
    <row r="149">
      <c r="A149" s="1" t="inlineStr">
        <is>
          <t>MMA</t>
        </is>
      </c>
      <c r="B149" s="1" t="inlineStr">
        <is>
          <t>LXMMA</t>
        </is>
      </c>
      <c r="C149" s="1" t="inlineStr">
        <is>
          <t>Yeosu</t>
        </is>
      </c>
      <c r="D149" s="1" t="inlineStr">
        <is>
          <t>Yeosu Complex</t>
        </is>
      </c>
      <c r="E149" s="1" t="n">
        <v>260</v>
      </c>
      <c r="F149" s="1" t="n">
        <v>2001</v>
      </c>
      <c r="G149" s="1" t="n">
        <v>24</v>
      </c>
    </row>
    <row r="150">
      <c r="A150" s="1" t="inlineStr">
        <is>
          <t>PMMA</t>
        </is>
      </c>
      <c r="B150" s="1" t="inlineStr">
        <is>
          <t>Lotte MCC</t>
        </is>
      </c>
      <c r="C150" s="1" t="inlineStr">
        <is>
          <t>Yeosu</t>
        </is>
      </c>
      <c r="D150" s="1" t="inlineStr">
        <is>
          <t>Yeosu Complex</t>
        </is>
      </c>
      <c r="E150" s="1" t="n">
        <v>110</v>
      </c>
      <c r="F150" s="1" t="n">
        <v>2008</v>
      </c>
      <c r="G150" s="1" t="n">
        <v>17</v>
      </c>
    </row>
    <row r="151">
      <c r="A151" s="1" t="inlineStr">
        <is>
          <t>PMMA</t>
        </is>
      </c>
      <c r="B151" s="1" t="inlineStr">
        <is>
          <t>LXMMA</t>
        </is>
      </c>
      <c r="C151" s="1" t="inlineStr">
        <is>
          <t>Yeosu</t>
        </is>
      </c>
      <c r="D151" s="1" t="inlineStr">
        <is>
          <t>Yeosu Complex</t>
        </is>
      </c>
      <c r="E151" s="1" t="n">
        <v>120</v>
      </c>
      <c r="F151" s="1" t="n">
        <v>1991</v>
      </c>
      <c r="G151" s="1" t="n">
        <v>34</v>
      </c>
    </row>
    <row r="152">
      <c r="A152" s="1" t="inlineStr">
        <is>
          <t>PMMA</t>
        </is>
      </c>
      <c r="B152" s="1" t="inlineStr">
        <is>
          <t>Arkema</t>
        </is>
      </c>
      <c r="C152" s="1" t="inlineStr">
        <is>
          <t>Jinhae</t>
        </is>
      </c>
      <c r="D152" s="1" t="inlineStr">
        <is>
          <t>Other Regions</t>
        </is>
      </c>
      <c r="E152" s="1" t="n">
        <v>100</v>
      </c>
      <c r="F152" s="1" t="n">
        <v>1999</v>
      </c>
      <c r="G152" s="1" t="n">
        <v>26</v>
      </c>
    </row>
    <row r="153">
      <c r="A153" s="1" t="inlineStr">
        <is>
          <t>Carbon Black(CB)</t>
        </is>
      </c>
      <c r="B153" s="1" t="inlineStr">
        <is>
          <t>OCI</t>
        </is>
      </c>
      <c r="C153" s="1" t="inlineStr">
        <is>
          <t>Gwangyang</t>
        </is>
      </c>
      <c r="D153" s="1" t="inlineStr">
        <is>
          <t>Other Regions</t>
        </is>
      </c>
      <c r="E153" s="1" t="n">
        <v>150</v>
      </c>
      <c r="F153" s="1" t="n">
        <v>1992</v>
      </c>
      <c r="G153" s="1" t="n">
        <v>33</v>
      </c>
    </row>
    <row r="154">
      <c r="A154" s="1" t="inlineStr">
        <is>
          <t>Carbon Black(CB)</t>
        </is>
      </c>
      <c r="B154" s="1" t="inlineStr">
        <is>
          <t>HD Hyundai OCI</t>
        </is>
      </c>
      <c r="C154" s="1" t="inlineStr">
        <is>
          <t>Daesan</t>
        </is>
      </c>
      <c r="D154" s="1" t="inlineStr">
        <is>
          <t>Daesan Complex</t>
        </is>
      </c>
      <c r="E154" s="1" t="n">
        <v>136</v>
      </c>
      <c r="F154" s="1" t="n">
        <v>2018</v>
      </c>
      <c r="G154" s="1" t="n">
        <v>7</v>
      </c>
    </row>
    <row r="155">
      <c r="A155" s="1" t="inlineStr">
        <is>
          <t>Carbon Black(CB)</t>
        </is>
      </c>
      <c r="B155" s="1" t="inlineStr">
        <is>
          <t>Birla Carbon Korea</t>
        </is>
      </c>
      <c r="C155" s="1" t="inlineStr">
        <is>
          <t>Yeosu</t>
        </is>
      </c>
      <c r="D155" s="1" t="inlineStr">
        <is>
          <t>Yeosu Complex</t>
        </is>
      </c>
      <c r="E155" s="1" t="n">
        <v>193</v>
      </c>
      <c r="F155" s="1" t="n">
        <v>1996</v>
      </c>
      <c r="G155" s="1" t="n">
        <v>29</v>
      </c>
    </row>
    <row r="156">
      <c r="A156" s="1" t="inlineStr">
        <is>
          <t>Carbon Black(CB)</t>
        </is>
      </c>
      <c r="B156" s="1" t="inlineStr">
        <is>
          <t>Orion Engineered Carbons</t>
        </is>
      </c>
      <c r="C156" s="1" t="inlineStr">
        <is>
          <t>Yeosu</t>
        </is>
      </c>
      <c r="D156" s="1" t="inlineStr">
        <is>
          <t>Yeosu Complex</t>
        </is>
      </c>
      <c r="E156" s="1" t="n">
        <v>170</v>
      </c>
      <c r="F156" s="1" t="n">
        <v>1979</v>
      </c>
      <c r="G156" s="1" t="n">
        <v>46</v>
      </c>
    </row>
    <row r="157">
      <c r="A157" s="1" t="inlineStr">
        <is>
          <t>Carbon Black(CB)</t>
        </is>
      </c>
      <c r="B157" s="1" t="inlineStr">
        <is>
          <t>OCI</t>
        </is>
      </c>
      <c r="C157" s="1" t="inlineStr">
        <is>
          <t>Pohang</t>
        </is>
      </c>
      <c r="D157" s="1" t="inlineStr">
        <is>
          <t>Other Regions</t>
        </is>
      </c>
      <c r="E157" s="1" t="n">
        <v>40</v>
      </c>
      <c r="F157" s="1" t="n">
        <v>1981</v>
      </c>
      <c r="G157" s="1" t="n">
        <v>44</v>
      </c>
    </row>
    <row r="158">
      <c r="A158" s="1" t="inlineStr">
        <is>
          <t>Petroleum Resin</t>
        </is>
      </c>
      <c r="B158" s="1" t="inlineStr">
        <is>
          <t>Kolon Industries</t>
        </is>
      </c>
      <c r="C158" s="1" t="inlineStr">
        <is>
          <t>Daesan</t>
        </is>
      </c>
      <c r="D158" s="1" t="inlineStr">
        <is>
          <t>Daesan Complex</t>
        </is>
      </c>
      <c r="E158" s="1" t="n">
        <v>87</v>
      </c>
      <c r="F158" s="1" t="n">
        <v>2014</v>
      </c>
      <c r="G158" s="1" t="n">
        <v>11</v>
      </c>
    </row>
    <row r="159">
      <c r="A159" s="1" t="inlineStr">
        <is>
          <t>Petroleum Resin</t>
        </is>
      </c>
      <c r="B159" s="1" t="inlineStr">
        <is>
          <t>Kolon Industries</t>
        </is>
      </c>
      <c r="C159" s="1" t="inlineStr">
        <is>
          <t>Yeosu</t>
        </is>
      </c>
      <c r="D159" s="1" t="inlineStr">
        <is>
          <t>Yeosu Complex</t>
        </is>
      </c>
      <c r="E159" s="1" t="n">
        <v>50</v>
      </c>
      <c r="F159" s="1" t="n">
        <v>2004</v>
      </c>
      <c r="G159" s="1" t="n">
        <v>21</v>
      </c>
    </row>
    <row r="160">
      <c r="A160" s="1" t="inlineStr">
        <is>
          <t>Petroleum Resin</t>
        </is>
      </c>
      <c r="B160" s="1" t="inlineStr">
        <is>
          <t>Hanwha Solutions</t>
        </is>
      </c>
      <c r="C160" s="1" t="inlineStr">
        <is>
          <t>Yeosu</t>
        </is>
      </c>
      <c r="D160" s="1" t="inlineStr">
        <is>
          <t>Yeosu Complex</t>
        </is>
      </c>
      <c r="E160" s="1" t="n">
        <v>86</v>
      </c>
      <c r="F160" s="1" t="n">
        <v>2019</v>
      </c>
      <c r="G160" s="1" t="n">
        <v>6</v>
      </c>
    </row>
    <row r="161">
      <c r="A161" s="1" t="inlineStr">
        <is>
          <t>Petroleum Resin</t>
        </is>
      </c>
      <c r="B161" s="1" t="inlineStr">
        <is>
          <t>Kolon Industries</t>
        </is>
      </c>
      <c r="C161" s="1" t="inlineStr">
        <is>
          <t>Ulsan</t>
        </is>
      </c>
      <c r="D161" s="1" t="inlineStr">
        <is>
          <t>Ulsan Complex</t>
        </is>
      </c>
      <c r="E161" s="1" t="n">
        <v>0</v>
      </c>
      <c r="F161" s="1" t="n">
        <v>1978</v>
      </c>
      <c r="G161" s="1" t="n">
        <v>47</v>
      </c>
    </row>
    <row r="163">
      <c r="A163" s="5" t="inlineStr">
        <is>
          <t>TOTAL</t>
        </is>
      </c>
      <c r="E163" t="n">
        <v>48645</v>
      </c>
    </row>
    <row r="165">
      <c r="A165" s="5" t="inlineStr">
        <is>
          <t>By Location:</t>
        </is>
      </c>
    </row>
    <row r="166">
      <c r="A166" t="inlineStr">
        <is>
          <t>Busan/Iksan/Siheung</t>
        </is>
      </c>
      <c r="E166" t="n">
        <v>530</v>
      </c>
      <c r="F166" t="inlineStr">
        <is>
          <t>1.1%</t>
        </is>
      </c>
    </row>
    <row r="167">
      <c r="A167" t="inlineStr">
        <is>
          <t>Daesan</t>
        </is>
      </c>
      <c r="E167" t="n">
        <v>11166</v>
      </c>
      <c r="F167" t="inlineStr">
        <is>
          <t>23.0%</t>
        </is>
      </c>
    </row>
    <row r="168">
      <c r="A168" t="inlineStr">
        <is>
          <t>Gimcheon</t>
        </is>
      </c>
      <c r="E168" t="n">
        <v>0</v>
      </c>
      <c r="F168" t="inlineStr">
        <is>
          <t>0.0%</t>
        </is>
      </c>
    </row>
    <row r="169">
      <c r="A169" t="inlineStr">
        <is>
          <t>Gumi</t>
        </is>
      </c>
      <c r="E169" t="n">
        <v>52</v>
      </c>
      <c r="F169" t="inlineStr">
        <is>
          <t>0.1%</t>
        </is>
      </c>
    </row>
    <row r="170">
      <c r="A170" t="inlineStr">
        <is>
          <t>Gunsan</t>
        </is>
      </c>
      <c r="E170" t="n">
        <v>330</v>
      </c>
      <c r="F170" t="inlineStr">
        <is>
          <t>0.7%</t>
        </is>
      </c>
    </row>
    <row r="171">
      <c r="A171" t="inlineStr">
        <is>
          <t>Gwangyang</t>
        </is>
      </c>
      <c r="E171" t="n">
        <v>150</v>
      </c>
      <c r="F171" t="inlineStr">
        <is>
          <t>0.3%</t>
        </is>
      </c>
    </row>
    <row r="172">
      <c r="A172" t="inlineStr">
        <is>
          <t>Jeonju</t>
        </is>
      </c>
      <c r="E172" t="n">
        <v>208</v>
      </c>
      <c r="F172" t="inlineStr">
        <is>
          <t>0.4%</t>
        </is>
      </c>
    </row>
    <row r="173">
      <c r="A173" t="inlineStr">
        <is>
          <t>Jinhae</t>
        </is>
      </c>
      <c r="E173" t="n">
        <v>100</v>
      </c>
      <c r="F173" t="inlineStr">
        <is>
          <t>0.2%</t>
        </is>
      </c>
    </row>
    <row r="174">
      <c r="A174" t="inlineStr">
        <is>
          <t>Naju</t>
        </is>
      </c>
      <c r="E174" t="n">
        <v>180</v>
      </c>
      <c r="F174" t="inlineStr">
        <is>
          <t>0.4%</t>
        </is>
      </c>
    </row>
    <row r="175">
      <c r="A175" t="inlineStr">
        <is>
          <t>Onsan</t>
        </is>
      </c>
      <c r="E175" t="n">
        <v>1192</v>
      </c>
      <c r="F175" t="inlineStr">
        <is>
          <t>2.5%</t>
        </is>
      </c>
    </row>
    <row r="176">
      <c r="A176" t="inlineStr">
        <is>
          <t>Pohang</t>
        </is>
      </c>
      <c r="E176" t="n">
        <v>100</v>
      </c>
      <c r="F176" t="inlineStr">
        <is>
          <t>0.2%</t>
        </is>
      </c>
    </row>
    <row r="177">
      <c r="A177" t="inlineStr">
        <is>
          <t>Ulsan</t>
        </is>
      </c>
      <c r="E177" t="n">
        <v>13266</v>
      </c>
      <c r="F177" t="inlineStr">
        <is>
          <t>27.3%</t>
        </is>
      </c>
    </row>
    <row r="178">
      <c r="A178" t="inlineStr">
        <is>
          <t>Yeosu</t>
        </is>
      </c>
      <c r="E178" t="n">
        <v>21371</v>
      </c>
      <c r="F178" t="inlineStr">
        <is>
          <t>43.9%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Heat Pump Deployment Analysis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HEAT DEMAND CALCULATION ===</f>
        <v/>
      </c>
      <c r="B3" s="1" t="inlineStr"/>
      <c r="C3" s="1" t="inlineStr"/>
      <c r="D3" s="1" t="inlineStr"/>
      <c r="E3" s="1" t="inlineStr"/>
    </row>
    <row r="4">
      <c r="A4" s="4" t="inlineStr">
        <is>
          <t>Process</t>
        </is>
      </c>
      <c r="B4" s="4" t="inlineStr">
        <is>
          <t>Capacity (kt)</t>
        </is>
      </c>
      <c r="C4" s="4" t="inlineStr">
        <is>
          <t>Heat Demand (GJ/ton)</t>
        </is>
      </c>
      <c r="D4" s="4" t="inlineStr">
        <is>
          <t>Total Heat (PJ/yr)</t>
        </is>
      </c>
      <c r="E4" s="4" t="inlineStr">
        <is>
          <t>Elec with HP (TWh/yr)</t>
        </is>
      </c>
    </row>
    <row r="5">
      <c r="A5" s="1" t="inlineStr">
        <is>
          <t>BTX</t>
        </is>
      </c>
      <c r="B5" s="1">
        <f>'1_Parameters'!B5</f>
        <v/>
      </c>
      <c r="C5" s="1">
        <f>'1_Parameters'!B19</f>
        <v/>
      </c>
      <c r="D5" s="1">
        <f>B5*C5/1000</f>
        <v/>
      </c>
      <c r="E5" s="1">
        <f>D5*0.278/'1_Parameters'!B10</f>
        <v/>
      </c>
    </row>
    <row r="6">
      <c r="A6" s="1" t="inlineStr">
        <is>
          <t>Utility (Polymer)</t>
        </is>
      </c>
      <c r="B6" s="1">
        <f>'1_Parameters'!B7</f>
        <v/>
      </c>
      <c r="C6" s="1">
        <f>'1_Parameters'!B20</f>
        <v/>
      </c>
      <c r="D6" s="1">
        <f>B6*C6/1000</f>
        <v/>
      </c>
      <c r="E6" s="1">
        <f>D6*0.278/'1_Parameters'!B10</f>
        <v/>
      </c>
    </row>
    <row r="7">
      <c r="A7" s="1" t="inlineStr">
        <is>
          <t>TOTAL</t>
        </is>
      </c>
      <c r="B7" s="1" t="n"/>
      <c r="C7" s="1" t="n"/>
      <c r="D7" s="1">
        <f>D5+D6</f>
        <v/>
      </c>
      <c r="E7" s="1">
        <f>E5+E6</f>
        <v/>
      </c>
    </row>
    <row r="8">
      <c r="A8" s="1" t="inlineStr"/>
      <c r="B8" s="1" t="inlineStr"/>
      <c r="C8" s="1" t="inlineStr"/>
      <c r="D8" s="1" t="inlineStr"/>
      <c r="E8" s="1" t="inlineStr"/>
    </row>
    <row r="9">
      <c r="A9" s="2">
        <f>== ELECTRICITY DEMAND WITH HEAT PUMP ===</f>
        <v/>
      </c>
      <c r="B9" s="1" t="inlineStr"/>
      <c r="C9" s="1" t="inlineStr"/>
      <c r="D9" s="1" t="inlineStr"/>
      <c r="E9" s="1" t="inlineStr"/>
    </row>
    <row r="10">
      <c r="A10" s="1" t="inlineStr">
        <is>
          <t>(Electricity = Heat / COP / 3.6 GJ/MWh)</t>
        </is>
      </c>
      <c r="B10" s="1" t="inlineStr"/>
      <c r="C10" s="1" t="inlineStr"/>
      <c r="D10" s="1" t="inlineStr"/>
      <c r="E10" s="1" t="inlineStr"/>
    </row>
    <row r="11">
      <c r="A11" s="1" t="inlineStr"/>
      <c r="B11" s="1" t="inlineStr"/>
      <c r="C11" s="1" t="inlineStr"/>
      <c r="D11" s="1" t="inlineStr"/>
      <c r="E11" s="1" t="inlineStr"/>
    </row>
    <row r="12">
      <c r="A12" s="2">
        <f>== COST ANALYSIS (2030-2050) ===</f>
        <v/>
      </c>
      <c r="B12" s="1" t="inlineStr"/>
      <c r="C12" s="1" t="inlineStr"/>
      <c r="D12" s="1" t="inlineStr"/>
      <c r="E12" s="1" t="inlineStr"/>
    </row>
    <row r="13">
      <c r="A13" s="1" t="inlineStr">
        <is>
          <t>Year</t>
        </is>
      </c>
      <c r="B13" s="1" t="inlineStr">
        <is>
          <t>Elec Demand (TWh)</t>
        </is>
      </c>
      <c r="C13" s="1" t="inlineStr">
        <is>
          <t>Grid Price ($/MWh)</t>
        </is>
      </c>
      <c r="D13" s="1" t="inlineStr">
        <is>
          <t>Annual Cost ($B)</t>
        </is>
      </c>
      <c r="E13" s="1" t="inlineStr"/>
    </row>
    <row r="14">
      <c r="A14" s="1" t="n">
        <v>2030</v>
      </c>
      <c r="B14" s="1">
        <f>$E$7</f>
        <v/>
      </c>
      <c r="C14" s="1">
        <f>'NCC_Energy_Cost_Model.xlsx'!C2</f>
        <v/>
      </c>
      <c r="D14" s="1">
        <f>B14*C14/1000</f>
        <v/>
      </c>
    </row>
    <row r="15">
      <c r="A15" s="1" t="n">
        <v>2031</v>
      </c>
      <c r="B15" s="1">
        <f>$E$7</f>
        <v/>
      </c>
      <c r="C15" s="1">
        <f>'NCC_Energy_Cost_Model.xlsx'!C3</f>
        <v/>
      </c>
      <c r="D15" s="1">
        <f>B15*C15/1000</f>
        <v/>
      </c>
    </row>
    <row r="16">
      <c r="A16" s="1" t="n">
        <v>2032</v>
      </c>
      <c r="B16" s="1">
        <f>$E$7</f>
        <v/>
      </c>
      <c r="C16" s="1">
        <f>'NCC_Energy_Cost_Model.xlsx'!C4</f>
        <v/>
      </c>
      <c r="D16" s="1">
        <f>B16*C16/1000</f>
        <v/>
      </c>
    </row>
    <row r="17">
      <c r="A17" s="1" t="n">
        <v>2033</v>
      </c>
      <c r="B17" s="1">
        <f>$E$7</f>
        <v/>
      </c>
      <c r="C17" s="1">
        <f>'NCC_Energy_Cost_Model.xlsx'!C5</f>
        <v/>
      </c>
      <c r="D17" s="1">
        <f>B17*C17/1000</f>
        <v/>
      </c>
    </row>
    <row r="18">
      <c r="A18" s="1" t="n">
        <v>2034</v>
      </c>
      <c r="B18" s="1">
        <f>$E$7</f>
        <v/>
      </c>
      <c r="C18" s="1">
        <f>'NCC_Energy_Cost_Model.xlsx'!C6</f>
        <v/>
      </c>
      <c r="D18" s="1">
        <f>B18*C18/1000</f>
        <v/>
      </c>
    </row>
    <row r="19">
      <c r="A19" s="1" t="n">
        <v>2035</v>
      </c>
      <c r="B19" s="1">
        <f>$E$7</f>
        <v/>
      </c>
      <c r="C19" s="1">
        <f>'NCC_Energy_Cost_Model.xlsx'!C7</f>
        <v/>
      </c>
      <c r="D19" s="1">
        <f>B19*C19/1000</f>
        <v/>
      </c>
    </row>
    <row r="20">
      <c r="A20" s="1" t="n">
        <v>2036</v>
      </c>
      <c r="B20" s="1">
        <f>$E$7</f>
        <v/>
      </c>
      <c r="C20" s="1">
        <f>'NCC_Energy_Cost_Model.xlsx'!C8</f>
        <v/>
      </c>
      <c r="D20" s="1">
        <f>B20*C20/1000</f>
        <v/>
      </c>
    </row>
    <row r="21">
      <c r="A21" s="1" t="n">
        <v>2037</v>
      </c>
      <c r="B21" s="1">
        <f>$E$7</f>
        <v/>
      </c>
      <c r="C21" s="1">
        <f>'NCC_Energy_Cost_Model.xlsx'!C9</f>
        <v/>
      </c>
      <c r="D21" s="1">
        <f>B21*C21/1000</f>
        <v/>
      </c>
    </row>
    <row r="22">
      <c r="A22" s="1" t="n">
        <v>2038</v>
      </c>
      <c r="B22" s="1">
        <f>$E$7</f>
        <v/>
      </c>
      <c r="C22" s="1">
        <f>'NCC_Energy_Cost_Model.xlsx'!C10</f>
        <v/>
      </c>
      <c r="D22" s="1">
        <f>B22*C22/1000</f>
        <v/>
      </c>
    </row>
    <row r="23">
      <c r="A23" s="1" t="n">
        <v>2039</v>
      </c>
      <c r="B23" s="1">
        <f>$E$7</f>
        <v/>
      </c>
      <c r="C23" s="1">
        <f>'NCC_Energy_Cost_Model.xlsx'!C11</f>
        <v/>
      </c>
      <c r="D23" s="1">
        <f>B23*C23/1000</f>
        <v/>
      </c>
    </row>
    <row r="24">
      <c r="A24" s="1" t="n">
        <v>2040</v>
      </c>
      <c r="B24" s="1">
        <f>$E$7</f>
        <v/>
      </c>
      <c r="C24" s="1">
        <f>'NCC_Energy_Cost_Model.xlsx'!C12</f>
        <v/>
      </c>
      <c r="D24" s="1">
        <f>B24*C24/1000</f>
        <v/>
      </c>
    </row>
    <row r="25">
      <c r="A25" s="1" t="n">
        <v>2041</v>
      </c>
      <c r="B25" s="1">
        <f>$E$7</f>
        <v/>
      </c>
      <c r="C25" s="1">
        <f>'NCC_Energy_Cost_Model.xlsx'!C13</f>
        <v/>
      </c>
      <c r="D25" s="1">
        <f>B25*C25/1000</f>
        <v/>
      </c>
    </row>
    <row r="26">
      <c r="A26" s="1" t="n">
        <v>2042</v>
      </c>
      <c r="B26" s="1">
        <f>$E$7</f>
        <v/>
      </c>
      <c r="C26" s="1">
        <f>'NCC_Energy_Cost_Model.xlsx'!C14</f>
        <v/>
      </c>
      <c r="D26" s="1">
        <f>B26*C26/1000</f>
        <v/>
      </c>
    </row>
    <row r="27">
      <c r="A27" s="1" t="n">
        <v>2043</v>
      </c>
      <c r="B27" s="1">
        <f>$E$7</f>
        <v/>
      </c>
      <c r="C27" s="1">
        <f>'NCC_Energy_Cost_Model.xlsx'!C15</f>
        <v/>
      </c>
      <c r="D27" s="1">
        <f>B27*C27/1000</f>
        <v/>
      </c>
    </row>
    <row r="28">
      <c r="A28" s="1" t="n">
        <v>2044</v>
      </c>
      <c r="B28" s="1">
        <f>$E$7</f>
        <v/>
      </c>
      <c r="C28" s="1">
        <f>'NCC_Energy_Cost_Model.xlsx'!C16</f>
        <v/>
      </c>
      <c r="D28" s="1">
        <f>B28*C28/1000</f>
        <v/>
      </c>
    </row>
    <row r="29">
      <c r="A29" s="1" t="n">
        <v>2045</v>
      </c>
      <c r="B29" s="1">
        <f>$E$7</f>
        <v/>
      </c>
      <c r="C29" s="1">
        <f>'NCC_Energy_Cost_Model.xlsx'!C17</f>
        <v/>
      </c>
      <c r="D29" s="1">
        <f>B29*C29/1000</f>
        <v/>
      </c>
    </row>
    <row r="30">
      <c r="A30" s="1" t="n">
        <v>2046</v>
      </c>
      <c r="B30" s="1">
        <f>$E$7</f>
        <v/>
      </c>
      <c r="C30" s="1">
        <f>'NCC_Energy_Cost_Model.xlsx'!C18</f>
        <v/>
      </c>
      <c r="D30" s="1">
        <f>B30*C30/1000</f>
        <v/>
      </c>
    </row>
    <row r="31">
      <c r="A31" s="1" t="n">
        <v>2047</v>
      </c>
      <c r="B31" s="1">
        <f>$E$7</f>
        <v/>
      </c>
      <c r="C31" s="1">
        <f>'NCC_Energy_Cost_Model.xlsx'!C19</f>
        <v/>
      </c>
      <c r="D31" s="1">
        <f>B31*C31/1000</f>
        <v/>
      </c>
    </row>
    <row r="32">
      <c r="A32" s="1" t="n">
        <v>2048</v>
      </c>
      <c r="B32" s="1">
        <f>$E$7</f>
        <v/>
      </c>
      <c r="C32" s="1">
        <f>'NCC_Energy_Cost_Model.xlsx'!C20</f>
        <v/>
      </c>
      <c r="D32" s="1">
        <f>B32*C32/1000</f>
        <v/>
      </c>
    </row>
    <row r="33">
      <c r="A33" s="1" t="n">
        <v>2049</v>
      </c>
      <c r="B33" s="1">
        <f>$E$7</f>
        <v/>
      </c>
      <c r="C33" s="1">
        <f>'NCC_Energy_Cost_Model.xlsx'!C21</f>
        <v/>
      </c>
      <c r="D33" s="1">
        <f>B33*C33/1000</f>
        <v/>
      </c>
    </row>
    <row r="34">
      <c r="A34" s="1" t="n">
        <v>2050</v>
      </c>
      <c r="B34" s="1">
        <f>$E$7</f>
        <v/>
      </c>
      <c r="C34" s="1">
        <f>'NCC_Energy_Cost_Model.xlsx'!C22</f>
        <v/>
      </c>
      <c r="D34" s="1">
        <f>B34*C34/1000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Regional Distribution of BTX &amp; Utility Facilities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BTX BY LOCATION ===</f>
        <v/>
      </c>
      <c r="B3" s="1" t="inlineStr"/>
      <c r="C3" s="1" t="inlineStr"/>
      <c r="D3" s="1" t="inlineStr"/>
      <c r="E3" s="1" t="inlineStr"/>
    </row>
    <row r="4">
      <c r="A4" s="4" t="inlineStr">
        <is>
          <t>Location</t>
        </is>
      </c>
      <c r="B4" s="4" t="inlineStr">
        <is>
          <t>Facilities</t>
        </is>
      </c>
      <c r="C4" s="4" t="inlineStr">
        <is>
          <t>Capacity (kt)</t>
        </is>
      </c>
      <c r="D4" s="4" t="inlineStr">
        <is>
          <t>Share (%)</t>
        </is>
      </c>
      <c r="E4" s="4" t="inlineStr"/>
    </row>
    <row r="5">
      <c r="A5" s="1" t="inlineStr">
        <is>
          <t>Daesan</t>
        </is>
      </c>
      <c r="B5" s="1" t="n">
        <v>12</v>
      </c>
      <c r="C5" s="1" t="n">
        <v>7615</v>
      </c>
      <c r="D5" s="1" t="inlineStr">
        <is>
          <t>29.6%</t>
        </is>
      </c>
    </row>
    <row r="6">
      <c r="A6" s="1" t="inlineStr">
        <is>
          <t>Gwangyang</t>
        </is>
      </c>
      <c r="B6" s="1" t="n">
        <v>2</v>
      </c>
      <c r="C6" s="1" t="n">
        <v>240</v>
      </c>
      <c r="D6" s="1" t="inlineStr">
        <is>
          <t>0.9%</t>
        </is>
      </c>
    </row>
    <row r="7">
      <c r="A7" s="1" t="inlineStr">
        <is>
          <t>Incheon</t>
        </is>
      </c>
      <c r="B7" s="1" t="n">
        <v>2</v>
      </c>
      <c r="C7" s="1" t="n">
        <v>2100</v>
      </c>
      <c r="D7" s="1" t="inlineStr">
        <is>
          <t>8.2%</t>
        </is>
      </c>
    </row>
    <row r="8">
      <c r="A8" s="1" t="inlineStr">
        <is>
          <t>Onsan</t>
        </is>
      </c>
      <c r="B8" s="1" t="n">
        <v>7</v>
      </c>
      <c r="C8" s="1" t="n">
        <v>3657</v>
      </c>
      <c r="D8" s="1" t="inlineStr">
        <is>
          <t>14.2%</t>
        </is>
      </c>
    </row>
    <row r="9">
      <c r="A9" s="1" t="inlineStr">
        <is>
          <t>Ulsan</t>
        </is>
      </c>
      <c r="B9" s="1" t="n">
        <v>11</v>
      </c>
      <c r="C9" s="1" t="n">
        <v>7063</v>
      </c>
      <c r="D9" s="1" t="inlineStr">
        <is>
          <t>27.4%</t>
        </is>
      </c>
    </row>
    <row r="10">
      <c r="A10" s="1" t="inlineStr">
        <is>
          <t>Yeosu</t>
        </is>
      </c>
      <c r="B10" s="1" t="n">
        <v>13</v>
      </c>
      <c r="C10" s="1" t="n">
        <v>5079</v>
      </c>
      <c r="D10" s="1" t="inlineStr">
        <is>
          <t>19.7%</t>
        </is>
      </c>
    </row>
    <row r="13">
      <c r="A13" s="5">
        <f>== UTILITY BY LOCATION ===</f>
        <v/>
      </c>
    </row>
    <row r="14">
      <c r="A14" s="6" t="inlineStr">
        <is>
          <t>Location</t>
        </is>
      </c>
      <c r="B14" s="6" t="inlineStr">
        <is>
          <t>Facilities</t>
        </is>
      </c>
      <c r="C14" s="6" t="inlineStr">
        <is>
          <t>Capacity (kt)</t>
        </is>
      </c>
      <c r="D14" s="6" t="inlineStr">
        <is>
          <t>Share (%)</t>
        </is>
      </c>
    </row>
    <row r="15">
      <c r="A15" s="1" t="inlineStr">
        <is>
          <t>Busan/Iksan/Siheung</t>
        </is>
      </c>
      <c r="B15" s="1" t="n">
        <v>1</v>
      </c>
      <c r="C15" s="1" t="n">
        <v>530</v>
      </c>
      <c r="D15" s="1" t="inlineStr">
        <is>
          <t>1.1%</t>
        </is>
      </c>
    </row>
    <row r="16">
      <c r="A16" s="1" t="inlineStr">
        <is>
          <t>Daesan</t>
        </is>
      </c>
      <c r="B16" s="1" t="n">
        <v>32</v>
      </c>
      <c r="C16" s="1" t="n">
        <v>11166</v>
      </c>
      <c r="D16" s="1" t="inlineStr">
        <is>
          <t>23.0%</t>
        </is>
      </c>
    </row>
    <row r="17">
      <c r="A17" s="1" t="inlineStr">
        <is>
          <t>Gimcheon</t>
        </is>
      </c>
      <c r="B17" s="1" t="n">
        <v>1</v>
      </c>
      <c r="C17" s="1" t="n">
        <v>0</v>
      </c>
      <c r="D17" s="1" t="inlineStr">
        <is>
          <t>0.0%</t>
        </is>
      </c>
    </row>
    <row r="18">
      <c r="A18" s="1" t="inlineStr">
        <is>
          <t>Gumi</t>
        </is>
      </c>
      <c r="B18" s="1" t="n">
        <v>1</v>
      </c>
      <c r="C18" s="1" t="n">
        <v>52</v>
      </c>
      <c r="D18" s="1" t="inlineStr">
        <is>
          <t>0.1%</t>
        </is>
      </c>
    </row>
    <row r="19">
      <c r="A19" s="1" t="inlineStr">
        <is>
          <t>Gunsan</t>
        </is>
      </c>
      <c r="B19" s="1" t="n">
        <v>3</v>
      </c>
      <c r="C19" s="1" t="n">
        <v>330</v>
      </c>
      <c r="D19" s="1" t="inlineStr">
        <is>
          <t>0.7%</t>
        </is>
      </c>
    </row>
    <row r="20">
      <c r="A20" s="1" t="inlineStr">
        <is>
          <t>Gwangyang</t>
        </is>
      </c>
      <c r="B20" s="1" t="n">
        <v>1</v>
      </c>
      <c r="C20" s="1" t="n">
        <v>150</v>
      </c>
      <c r="D20" s="1" t="inlineStr">
        <is>
          <t>0.3%</t>
        </is>
      </c>
    </row>
    <row r="21">
      <c r="A21" s="1" t="inlineStr">
        <is>
          <t>Jeonju</t>
        </is>
      </c>
      <c r="B21" s="1" t="n">
        <v>3</v>
      </c>
      <c r="C21" s="1" t="n">
        <v>208</v>
      </c>
      <c r="D21" s="1" t="inlineStr">
        <is>
          <t>0.4%</t>
        </is>
      </c>
    </row>
    <row r="22">
      <c r="A22" s="1" t="inlineStr">
        <is>
          <t>Jinhae</t>
        </is>
      </c>
      <c r="B22" s="1" t="n">
        <v>1</v>
      </c>
      <c r="C22" s="1" t="n">
        <v>100</v>
      </c>
      <c r="D22" s="1" t="inlineStr">
        <is>
          <t>0.2%</t>
        </is>
      </c>
    </row>
    <row r="23">
      <c r="A23" s="1" t="inlineStr">
        <is>
          <t>Naju</t>
        </is>
      </c>
      <c r="B23" s="1" t="n">
        <v>2</v>
      </c>
      <c r="C23" s="1" t="n">
        <v>180</v>
      </c>
      <c r="D23" s="1" t="inlineStr">
        <is>
          <t>0.4%</t>
        </is>
      </c>
    </row>
    <row r="24">
      <c r="A24" s="1" t="inlineStr">
        <is>
          <t>Onsan</t>
        </is>
      </c>
      <c r="B24" s="1" t="n">
        <v>3</v>
      </c>
      <c r="C24" s="1" t="n">
        <v>1192</v>
      </c>
      <c r="D24" s="1" t="inlineStr">
        <is>
          <t>2.5%</t>
        </is>
      </c>
    </row>
    <row r="25">
      <c r="A25" s="1" t="inlineStr">
        <is>
          <t>Pohang</t>
        </is>
      </c>
      <c r="B25" s="1" t="n">
        <v>2</v>
      </c>
      <c r="C25" s="1" t="n">
        <v>100</v>
      </c>
      <c r="D25" s="1" t="inlineStr">
        <is>
          <t>0.2%</t>
        </is>
      </c>
    </row>
    <row r="26">
      <c r="A26" s="1" t="inlineStr">
        <is>
          <t>Ulsan</t>
        </is>
      </c>
      <c r="B26" s="1" t="n">
        <v>49</v>
      </c>
      <c r="C26" s="1" t="n">
        <v>13266</v>
      </c>
      <c r="D26" s="1" t="inlineStr">
        <is>
          <t>27.3%</t>
        </is>
      </c>
    </row>
    <row r="27">
      <c r="A27" s="1" t="inlineStr">
        <is>
          <t>Yeosu</t>
        </is>
      </c>
      <c r="B27" s="1" t="n">
        <v>61</v>
      </c>
      <c r="C27" s="1" t="n">
        <v>21371</v>
      </c>
      <c r="D27" s="1" t="inlineStr">
        <is>
          <t>43.9%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</cols>
  <sheetData>
    <row r="1">
      <c r="A1" s="1" t="inlineStr">
        <is>
          <t>BTX &amp; Polymer Energy Transition Summary</t>
        </is>
      </c>
      <c r="B1" s="1" t="inlineStr"/>
      <c r="C1" s="1" t="inlineStr"/>
      <c r="D1" s="1" t="inlineStr"/>
    </row>
    <row r="2">
      <c r="A2" s="1" t="inlineStr"/>
      <c r="B2" s="1" t="inlineStr"/>
      <c r="C2" s="1" t="inlineStr"/>
      <c r="D2" s="1" t="inlineStr"/>
    </row>
    <row r="3">
      <c r="A3" s="2">
        <f>== FACILITY OVERVIEW ===</f>
        <v/>
      </c>
      <c r="B3" s="1" t="inlineStr"/>
      <c r="C3" s="1" t="inlineStr"/>
      <c r="D3" s="1" t="inlineStr"/>
    </row>
    <row r="4">
      <c r="A4" s="4" t="inlineStr">
        <is>
          <t>Process</t>
        </is>
      </c>
      <c r="B4" s="4" t="inlineStr">
        <is>
          <t>Facilities</t>
        </is>
      </c>
      <c r="C4" s="4" t="inlineStr">
        <is>
          <t>Total Capacity (kt)</t>
        </is>
      </c>
      <c r="D4" s="4" t="inlineStr"/>
    </row>
    <row r="5">
      <c r="A5" s="1" t="inlineStr">
        <is>
          <t>BTX</t>
        </is>
      </c>
      <c r="B5" s="1" t="n">
        <v>47</v>
      </c>
      <c r="C5" s="1" t="n">
        <v>25754</v>
      </c>
      <c r="D5" s="1" t="inlineStr"/>
    </row>
    <row r="6">
      <c r="A6" s="1" t="inlineStr">
        <is>
          <t>Utility (Polymer)</t>
        </is>
      </c>
      <c r="B6" s="1" t="n">
        <v>160</v>
      </c>
      <c r="C6" s="1" t="n">
        <v>48645</v>
      </c>
      <c r="D6" s="1" t="inlineStr"/>
    </row>
    <row r="7">
      <c r="A7" s="1" t="inlineStr">
        <is>
          <t>TOTAL</t>
        </is>
      </c>
      <c r="B7" s="1" t="n">
        <v>207</v>
      </c>
      <c r="C7" s="1" t="n">
        <v>74399</v>
      </c>
      <c r="D7" s="1" t="inlineStr"/>
    </row>
    <row r="8">
      <c r="A8" s="1" t="inlineStr"/>
      <c r="B8" s="1" t="inlineStr"/>
      <c r="C8" s="1" t="inlineStr"/>
      <c r="D8" s="1" t="inlineStr"/>
    </row>
    <row r="9">
      <c r="A9" s="2">
        <f>== DECARBONIZATION TECHNOLOGY ===</f>
        <v/>
      </c>
      <c r="B9" s="1" t="inlineStr"/>
      <c r="C9" s="1" t="inlineStr"/>
      <c r="D9" s="1" t="inlineStr"/>
    </row>
    <row r="10">
      <c r="A10" s="1" t="inlineStr">
        <is>
          <t>Technology</t>
        </is>
      </c>
      <c r="B10" s="1" t="inlineStr">
        <is>
          <t>Heat Pump</t>
        </is>
      </c>
      <c r="C10" s="1" t="inlineStr"/>
      <c r="D10" s="1" t="inlineStr"/>
    </row>
    <row r="11">
      <c r="A11" s="1" t="inlineStr">
        <is>
          <t>Applicable to</t>
        </is>
      </c>
      <c r="B11" s="1" t="inlineStr">
        <is>
          <t>BTX &amp; Polymer (&lt;165°C)</t>
        </is>
      </c>
      <c r="C11" s="1" t="inlineStr"/>
      <c r="D11" s="1" t="inlineStr"/>
    </row>
    <row r="12">
      <c r="A12" s="1" t="inlineStr">
        <is>
          <t>COP</t>
        </is>
      </c>
      <c r="B12" s="1">
        <f>'1_Parameters'!B10</f>
        <v/>
      </c>
      <c r="C12" s="1" t="inlineStr"/>
      <c r="D12" s="1" t="inlineStr"/>
    </row>
    <row r="13">
      <c r="A13" s="1" t="inlineStr"/>
      <c r="B13" s="1" t="inlineStr"/>
      <c r="C13" s="1" t="inlineStr"/>
      <c r="D13" s="1" t="inlineStr"/>
    </row>
    <row r="14">
      <c r="A14" s="2">
        <f>== ENERGY DEMAND (with Heat Pump) ===</f>
        <v/>
      </c>
      <c r="B14" s="1" t="inlineStr"/>
      <c r="C14" s="1" t="inlineStr"/>
      <c r="D14" s="1" t="inlineStr"/>
    </row>
    <row r="15">
      <c r="A15" s="1" t="inlineStr">
        <is>
          <t>Total Heat Demand</t>
        </is>
      </c>
      <c r="B15" s="1">
        <f>'4_Heat_Pump_Analysis'!D7</f>
        <v/>
      </c>
      <c r="C15" s="1" t="inlineStr">
        <is>
          <t>PJ/year</t>
        </is>
      </c>
      <c r="D15" s="1" t="inlineStr"/>
    </row>
    <row r="16">
      <c r="A16" s="1" t="inlineStr">
        <is>
          <t>Electricity Demand</t>
        </is>
      </c>
      <c r="B16" s="1">
        <f>'4_Heat_Pump_Analysis'!E7</f>
        <v/>
      </c>
      <c r="C16" s="1" t="inlineStr">
        <is>
          <t>TWh/year</t>
        </is>
      </c>
      <c r="D16" s="1" t="inlineStr"/>
    </row>
    <row r="17">
      <c r="A17" s="1" t="inlineStr"/>
      <c r="B17" s="1" t="inlineStr"/>
      <c r="C17" s="1" t="inlineStr"/>
      <c r="D17" s="1" t="inlineStr"/>
    </row>
    <row r="18">
      <c r="A18" s="2">
        <f>== COMPARISON WITH NCC ===</f>
        <v/>
      </c>
      <c r="B18" s="1" t="inlineStr"/>
      <c r="C18" s="1" t="inlineStr"/>
      <c r="D18" s="1" t="inlineStr"/>
    </row>
    <row r="19">
      <c r="A19" s="4" t="inlineStr"/>
      <c r="B19" s="4" t="inlineStr">
        <is>
          <t>BTX/Polymer</t>
        </is>
      </c>
      <c r="C19" s="4" t="inlineStr">
        <is>
          <t>NCC</t>
        </is>
      </c>
      <c r="D19" s="4" t="inlineStr">
        <is>
          <t>Ratio</t>
        </is>
      </c>
    </row>
    <row r="20">
      <c r="A20" s="1" t="inlineStr">
        <is>
          <t>Process Type</t>
        </is>
      </c>
      <c r="B20" s="1" t="inlineStr">
        <is>
          <t>Low-temp heat</t>
        </is>
      </c>
      <c r="C20" s="1" t="inlineStr">
        <is>
          <t>High-temp cracking</t>
        </is>
      </c>
      <c r="D20" s="1" t="inlineStr"/>
    </row>
    <row r="21">
      <c r="A21" s="1" t="inlineStr">
        <is>
          <t>Technology</t>
        </is>
      </c>
      <c r="B21" s="1" t="inlineStr">
        <is>
          <t>Heat Pump</t>
        </is>
      </c>
      <c r="C21" s="1" t="inlineStr">
        <is>
          <t>NCC-H2 or NCC-Elec</t>
        </is>
      </c>
      <c r="D21" s="1" t="inlineStr"/>
    </row>
    <row r="22">
      <c r="A22" s="1" t="inlineStr">
        <is>
          <t>Electricity Demand</t>
        </is>
      </c>
      <c r="B22" s="1">
        <f>'4_Heat_Pump_Analysis'!E7</f>
        <v/>
      </c>
      <c r="C22" s="1" t="inlineStr">
        <is>
          <t>164.5 TWh (Shaheen)</t>
        </is>
      </c>
      <c r="D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2025-11-27T09:24:33Z</dcterms:created>
  <dcterms:modified xmlns:dcterms="http://purl.org/dc/terms/" xmlns:xsi="http://www.w3.org/2001/XMLSchema-instance" xsi:type="dcterms:W3CDTF">2025-11-27T09:24:33Z</dcterms:modified>
</cp:coreProperties>
</file>