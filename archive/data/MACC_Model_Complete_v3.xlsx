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odel_Overview" sheetId="1" state="visible" r:id="rId1"/>
    <sheet xmlns:r="http://schemas.openxmlformats.org/officeDocument/2006/relationships" name="2_Production_Scenarios" sheetId="2" state="visible" r:id="rId2"/>
    <sheet xmlns:r="http://schemas.openxmlformats.org/officeDocument/2006/relationships" name="3_Technology_Parameters" sheetId="3" state="visible" r:id="rId3"/>
    <sheet xmlns:r="http://schemas.openxmlformats.org/officeDocument/2006/relationships" name="4_Energy_Calculations" sheetId="4" state="visible" r:id="rId4"/>
    <sheet xmlns:r="http://schemas.openxmlformats.org/officeDocument/2006/relationships" name="5_Regional_Breakdown" sheetId="5" state="visible" r:id="rId5"/>
    <sheet xmlns:r="http://schemas.openxmlformats.org/officeDocument/2006/relationships" name="6_Price_Trajectories" sheetId="6" state="visible" r:id="rId6"/>
    <sheet xmlns:r="http://schemas.openxmlformats.org/officeDocument/2006/relationships" name="7_MACC_Results" sheetId="7" state="visible" r:id="rId7"/>
    <sheet xmlns:r="http://schemas.openxmlformats.org/officeDocument/2006/relationships" name="8_References" sheetId="8" state="visible" r:id="rId8"/>
    <sheet xmlns:r="http://schemas.openxmlformats.org/officeDocument/2006/relationships" name="9_Facility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</cols>
  <sheetData>
    <row r="1">
      <c r="A1" s="1" t="inlineStr">
        <is>
          <t>Korean Petrochemical Industry MACC Model</t>
        </is>
      </c>
    </row>
    <row r="2">
      <c r="A2" s="2" t="inlineStr">
        <is>
          <t>Marginal Abatement Cost Curve Analysis (2025-2050)</t>
        </is>
      </c>
    </row>
    <row r="4">
      <c r="A4" t="inlineStr">
        <is>
          <t>Version: 2025-11-27 | Base Year: 2025 | Target Year: 2050</t>
        </is>
      </c>
    </row>
    <row r="6">
      <c r="A6" s="2" t="inlineStr">
        <is>
          <t>KEY STATISTICS</t>
        </is>
      </c>
    </row>
    <row r="7">
      <c r="A7" t="inlineStr">
        <is>
          <t>Total Facilities</t>
        </is>
      </c>
      <c r="B7" t="n">
        <v>248</v>
      </c>
      <c r="C7" t="inlineStr">
        <is>
          <t>units</t>
        </is>
      </c>
    </row>
    <row r="8">
      <c r="A8" t="inlineStr">
        <is>
          <t>Total Ethylene Capacity (2025)</t>
        </is>
      </c>
      <c r="B8" t="n">
        <v>11962</v>
      </c>
      <c r="C8" t="inlineStr">
        <is>
          <t>kt/year</t>
        </is>
      </c>
    </row>
    <row r="9">
      <c r="A9" t="inlineStr">
        <is>
          <t>Baseline Emissions (2025)</t>
        </is>
      </c>
      <c r="B9" t="inlineStr">
        <is>
          <t>~52</t>
        </is>
      </c>
      <c r="C9" t="inlineStr">
        <is>
          <t>MtCO2/year</t>
        </is>
      </c>
    </row>
    <row r="10">
      <c r="A10" t="inlineStr">
        <is>
          <t>Time Horizon</t>
        </is>
      </c>
      <c r="B10" t="inlineStr">
        <is>
          <t>2025-2050</t>
        </is>
      </c>
      <c r="C10" t="inlineStr">
        <is>
          <t>26 years</t>
        </is>
      </c>
    </row>
    <row r="13">
      <c r="A13" s="2" t="inlineStr">
        <is>
          <t>DECARBONIZATION TECHNOLOGIES</t>
        </is>
      </c>
    </row>
    <row r="14">
      <c r="A14" s="3" t="inlineStr">
        <is>
          <t>Technology</t>
        </is>
      </c>
      <c r="B14" s="3" t="inlineStr">
        <is>
          <t>Description</t>
        </is>
      </c>
      <c r="C14" s="3" t="inlineStr">
        <is>
          <t>Available From</t>
        </is>
      </c>
    </row>
    <row r="15">
      <c r="A15" s="4" t="inlineStr">
        <is>
          <t>NCC-H2</t>
        </is>
      </c>
      <c r="B15" s="4" t="inlineStr">
        <is>
          <t>Hydrogen-fueled naphtha cracker</t>
        </is>
      </c>
      <c r="C15" s="4" t="inlineStr">
        <is>
          <t>2030</t>
        </is>
      </c>
    </row>
    <row r="16">
      <c r="A16" s="4" t="inlineStr">
        <is>
          <t>NCC-Electricity</t>
        </is>
      </c>
      <c r="B16" s="4" t="inlineStr">
        <is>
          <t>Electric naphtha cracker</t>
        </is>
      </c>
      <c r="C16" s="4" t="inlineStr">
        <is>
          <t>2030</t>
        </is>
      </c>
    </row>
    <row r="17">
      <c r="A17" s="4" t="inlineStr">
        <is>
          <t>Heat Pump</t>
        </is>
      </c>
      <c r="B17" s="4" t="inlineStr">
        <is>
          <t>Heat pump for process heat (&lt;165°C)</t>
        </is>
      </c>
      <c r="C17" s="4" t="inlineStr">
        <is>
          <t>2025</t>
        </is>
      </c>
    </row>
    <row r="18">
      <c r="A18" s="4" t="inlineStr">
        <is>
          <t>RE_PPA</t>
        </is>
      </c>
      <c r="B18" s="4" t="inlineStr">
        <is>
          <t>Renewable electricity procurement</t>
        </is>
      </c>
      <c r="C18" s="4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Production Scenarios (2025-2050)</t>
        </is>
      </c>
    </row>
    <row r="3">
      <c r="A3" s="2" t="inlineStr">
        <is>
          <t>SCENARIO DEFINITIONS</t>
        </is>
      </c>
    </row>
    <row r="4">
      <c r="A4" s="3" t="inlineStr">
        <is>
          <t>Scenario</t>
        </is>
      </c>
      <c r="B4" s="3" t="inlineStr">
        <is>
          <t>Production Multiplier</t>
        </is>
      </c>
      <c r="C4" s="3" t="inlineStr">
        <is>
          <t>Ethylene (2050)</t>
        </is>
      </c>
      <c r="D4" s="3" t="inlineStr">
        <is>
          <t>Description</t>
        </is>
      </c>
    </row>
    <row r="5">
      <c r="A5" s="4" t="inlineStr">
        <is>
          <t>Shaheen (성장)</t>
        </is>
      </c>
      <c r="B5" s="4" t="inlineStr">
        <is>
          <t>1.15×</t>
        </is>
      </c>
      <c r="C5" s="4">
        <f>11962*1.15</f>
        <v/>
      </c>
      <c r="D5" s="4" t="inlineStr">
        <is>
          <t>+1.8 Mt/year growth (Shaheen forecast)</t>
        </is>
      </c>
    </row>
    <row r="6">
      <c r="A6" s="4" t="inlineStr">
        <is>
          <t>Restructure 25%</t>
        </is>
      </c>
      <c r="B6" s="4" t="inlineStr">
        <is>
          <t>0.691×</t>
        </is>
      </c>
      <c r="C6" s="4">
        <f>11962*0.691</f>
        <v/>
      </c>
      <c r="D6" s="4" t="inlineStr">
        <is>
          <t>-30.9% production capacity reduction</t>
        </is>
      </c>
    </row>
    <row r="7">
      <c r="A7" s="4" t="inlineStr">
        <is>
          <t>Restructure 40%</t>
        </is>
      </c>
      <c r="B7" s="4" t="inlineStr">
        <is>
          <t>0.60×</t>
        </is>
      </c>
      <c r="C7" s="4">
        <f>11962*0.60</f>
        <v/>
      </c>
      <c r="D7" s="4" t="inlineStr">
        <is>
          <t>-40% production by 2040, maintained</t>
        </is>
      </c>
    </row>
    <row r="10">
      <c r="A10" s="2" t="inlineStr">
        <is>
          <t>ANNUAL PRODUCTION TRAJECTORY</t>
        </is>
      </c>
    </row>
    <row r="11">
      <c r="A11" s="3" t="inlineStr">
        <is>
          <t>Year</t>
        </is>
      </c>
      <c r="B11" s="3" t="inlineStr">
        <is>
          <t>Baseline</t>
        </is>
      </c>
      <c r="C11" s="3" t="inlineStr">
        <is>
          <t>Shaheen</t>
        </is>
      </c>
      <c r="D11" s="3" t="inlineStr">
        <is>
          <t>Restructure 25%</t>
        </is>
      </c>
      <c r="E11" s="3" t="inlineStr">
        <is>
          <t>Restructure 40%</t>
        </is>
      </c>
    </row>
    <row r="12">
      <c r="A12" s="4" t="n">
        <v>2025</v>
      </c>
      <c r="B12" s="4">
        <f>11962*1.000</f>
        <v/>
      </c>
      <c r="C12" s="4">
        <f>11962*1.000</f>
        <v/>
      </c>
      <c r="D12" s="4">
        <f>11962*1.000</f>
        <v/>
      </c>
      <c r="E12" s="4">
        <f>11962*1.000</f>
        <v/>
      </c>
    </row>
    <row r="13">
      <c r="A13" s="4" t="n">
        <v>2026</v>
      </c>
      <c r="B13" s="4">
        <f>11962*1.015</f>
        <v/>
      </c>
      <c r="C13" s="4">
        <f>11962*1.150</f>
        <v/>
      </c>
      <c r="D13" s="4">
        <f>11962*0.691</f>
        <v/>
      </c>
      <c r="E13" s="4">
        <f>11962*0.970</f>
        <v/>
      </c>
    </row>
    <row r="14">
      <c r="A14" s="4" t="n">
        <v>2027</v>
      </c>
      <c r="B14" s="4">
        <f>11962*1.030</f>
        <v/>
      </c>
      <c r="C14" s="4">
        <f>11962*1.150</f>
        <v/>
      </c>
      <c r="D14" s="4">
        <f>11962*0.691</f>
        <v/>
      </c>
      <c r="E14" s="4">
        <f>11962*0.944</f>
        <v/>
      </c>
    </row>
    <row r="15">
      <c r="A15" s="4" t="n">
        <v>2028</v>
      </c>
      <c r="B15" s="4">
        <f>11962*1.046</f>
        <v/>
      </c>
      <c r="C15" s="4">
        <f>11962*1.150</f>
        <v/>
      </c>
      <c r="D15" s="4">
        <f>11962*0.691</f>
        <v/>
      </c>
      <c r="E15" s="4">
        <f>11962*0.917</f>
        <v/>
      </c>
    </row>
    <row r="16">
      <c r="A16" s="4" t="n">
        <v>2029</v>
      </c>
      <c r="B16" s="4">
        <f>11962*1.061</f>
        <v/>
      </c>
      <c r="C16" s="4">
        <f>11962*1.150</f>
        <v/>
      </c>
      <c r="D16" s="4">
        <f>11962*0.691</f>
        <v/>
      </c>
      <c r="E16" s="4">
        <f>11962*0.891</f>
        <v/>
      </c>
    </row>
    <row r="17">
      <c r="A17" s="4" t="n">
        <v>2030</v>
      </c>
      <c r="B17" s="4">
        <f>11962*1.077</f>
        <v/>
      </c>
      <c r="C17" s="4">
        <f>11962*1.150</f>
        <v/>
      </c>
      <c r="D17" s="4">
        <f>11962*0.691</f>
        <v/>
      </c>
      <c r="E17" s="4">
        <f>11962*0.875</f>
        <v/>
      </c>
    </row>
    <row r="18">
      <c r="A18" s="4" t="n">
        <v>2031</v>
      </c>
      <c r="B18" s="4">
        <f>11962*1.091</f>
        <v/>
      </c>
      <c r="C18" s="4">
        <f>11962*1.150</f>
        <v/>
      </c>
      <c r="D18" s="4">
        <f>11962*0.691</f>
        <v/>
      </c>
      <c r="E18" s="4">
        <f>11962*0.849</f>
        <v/>
      </c>
    </row>
    <row r="19">
      <c r="A19" s="4" t="n">
        <v>2032</v>
      </c>
      <c r="B19" s="4">
        <f>11962*1.105</f>
        <v/>
      </c>
      <c r="C19" s="4">
        <f>11962*1.150</f>
        <v/>
      </c>
      <c r="D19" s="4">
        <f>11962*0.691</f>
        <v/>
      </c>
      <c r="E19" s="4">
        <f>11962*0.823</f>
        <v/>
      </c>
    </row>
    <row r="20">
      <c r="A20" s="4" t="n">
        <v>2033</v>
      </c>
      <c r="B20" s="4">
        <f>11962*1.119</f>
        <v/>
      </c>
      <c r="C20" s="4">
        <f>11962*1.150</f>
        <v/>
      </c>
      <c r="D20" s="4">
        <f>11962*0.691</f>
        <v/>
      </c>
      <c r="E20" s="4">
        <f>11962*0.797</f>
        <v/>
      </c>
    </row>
    <row r="21">
      <c r="A21" s="4" t="n">
        <v>2034</v>
      </c>
      <c r="B21" s="4">
        <f>11962*1.134</f>
        <v/>
      </c>
      <c r="C21" s="4">
        <f>11962*1.150</f>
        <v/>
      </c>
      <c r="D21" s="4">
        <f>11962*0.691</f>
        <v/>
      </c>
      <c r="E21" s="4">
        <f>11962*0.771</f>
        <v/>
      </c>
    </row>
    <row r="22">
      <c r="A22" s="4" t="n">
        <v>2035</v>
      </c>
      <c r="B22" s="4">
        <f>11962*1.149</f>
        <v/>
      </c>
      <c r="C22" s="4">
        <f>11962*1.150</f>
        <v/>
      </c>
      <c r="D22" s="4">
        <f>11962*0.691</f>
        <v/>
      </c>
      <c r="E22" s="4">
        <f>11962*0.756</f>
        <v/>
      </c>
    </row>
    <row r="23">
      <c r="A23" s="4" t="n">
        <v>2036</v>
      </c>
      <c r="B23" s="4">
        <f>11962*1.160</f>
        <v/>
      </c>
      <c r="C23" s="4">
        <f>11962*1.150</f>
        <v/>
      </c>
      <c r="D23" s="4">
        <f>11962*0.691</f>
        <v/>
      </c>
      <c r="E23" s="4">
        <f>11962*0.730</f>
        <v/>
      </c>
    </row>
    <row r="24">
      <c r="A24" s="4" t="n">
        <v>2037</v>
      </c>
      <c r="B24" s="4">
        <f>11962*1.172</f>
        <v/>
      </c>
      <c r="C24" s="4">
        <f>11962*1.150</f>
        <v/>
      </c>
      <c r="D24" s="4">
        <f>11962*0.691</f>
        <v/>
      </c>
      <c r="E24" s="4">
        <f>11962*0.704</f>
        <v/>
      </c>
    </row>
    <row r="25">
      <c r="A25" s="4" t="n">
        <v>2038</v>
      </c>
      <c r="B25" s="4">
        <f>11962*1.183</f>
        <v/>
      </c>
      <c r="C25" s="4">
        <f>11962*1.150</f>
        <v/>
      </c>
      <c r="D25" s="4">
        <f>11962*0.691</f>
        <v/>
      </c>
      <c r="E25" s="4">
        <f>11962*0.678</f>
        <v/>
      </c>
    </row>
    <row r="26">
      <c r="A26" s="4" t="n">
        <v>2039</v>
      </c>
      <c r="B26" s="4">
        <f>11962*1.195</f>
        <v/>
      </c>
      <c r="C26" s="4">
        <f>11962*1.150</f>
        <v/>
      </c>
      <c r="D26" s="4">
        <f>11962*0.691</f>
        <v/>
      </c>
      <c r="E26" s="4">
        <f>11962*0.652</f>
        <v/>
      </c>
    </row>
    <row r="27">
      <c r="A27" s="4" t="n">
        <v>2040</v>
      </c>
      <c r="B27" s="4">
        <f>11962*1.207</f>
        <v/>
      </c>
      <c r="C27" s="4">
        <f>11962*1.150</f>
        <v/>
      </c>
      <c r="D27" s="4">
        <f>11962*0.691</f>
        <v/>
      </c>
      <c r="E27" s="4">
        <f>11962*0.600</f>
        <v/>
      </c>
    </row>
    <row r="28">
      <c r="A28" s="4" t="n">
        <v>2041</v>
      </c>
      <c r="B28" s="4">
        <f>11962*1.217</f>
        <v/>
      </c>
      <c r="C28" s="4">
        <f>11962*1.150</f>
        <v/>
      </c>
      <c r="D28" s="4">
        <f>11962*0.691</f>
        <v/>
      </c>
      <c r="E28" s="4">
        <f>11962*0.600</f>
        <v/>
      </c>
    </row>
    <row r="29">
      <c r="A29" s="4" t="n">
        <v>2042</v>
      </c>
      <c r="B29" s="4">
        <f>11962*1.226</f>
        <v/>
      </c>
      <c r="C29" s="4">
        <f>11962*1.150</f>
        <v/>
      </c>
      <c r="D29" s="4">
        <f>11962*0.691</f>
        <v/>
      </c>
      <c r="E29" s="4">
        <f>11962*0.600</f>
        <v/>
      </c>
    </row>
    <row r="30">
      <c r="A30" s="4" t="n">
        <v>2043</v>
      </c>
      <c r="B30" s="4">
        <f>11962*1.236</f>
        <v/>
      </c>
      <c r="C30" s="4">
        <f>11962*1.150</f>
        <v/>
      </c>
      <c r="D30" s="4">
        <f>11962*0.691</f>
        <v/>
      </c>
      <c r="E30" s="4">
        <f>11962*0.600</f>
        <v/>
      </c>
    </row>
    <row r="31">
      <c r="A31" s="4" t="n">
        <v>2044</v>
      </c>
      <c r="B31" s="4">
        <f>11962*1.246</f>
        <v/>
      </c>
      <c r="C31" s="4">
        <f>11962*1.150</f>
        <v/>
      </c>
      <c r="D31" s="4">
        <f>11962*0.691</f>
        <v/>
      </c>
      <c r="E31" s="4">
        <f>11962*0.600</f>
        <v/>
      </c>
    </row>
    <row r="32">
      <c r="A32" s="4" t="n">
        <v>2045</v>
      </c>
      <c r="B32" s="4">
        <f>11962*1.256</f>
        <v/>
      </c>
      <c r="C32" s="4">
        <f>11962*1.150</f>
        <v/>
      </c>
      <c r="D32" s="4">
        <f>11962*0.691</f>
        <v/>
      </c>
      <c r="E32" s="4">
        <f>11962*0.600</f>
        <v/>
      </c>
    </row>
    <row r="33">
      <c r="A33" s="4" t="n">
        <v>2046</v>
      </c>
      <c r="B33" s="4">
        <f>11962*1.262</f>
        <v/>
      </c>
      <c r="C33" s="4">
        <f>11962*1.150</f>
        <v/>
      </c>
      <c r="D33" s="4">
        <f>11962*0.691</f>
        <v/>
      </c>
      <c r="E33" s="4">
        <f>11962*0.600</f>
        <v/>
      </c>
    </row>
    <row r="34">
      <c r="A34" s="4" t="n">
        <v>2047</v>
      </c>
      <c r="B34" s="4">
        <f>11962*1.269</f>
        <v/>
      </c>
      <c r="C34" s="4">
        <f>11962*1.150</f>
        <v/>
      </c>
      <c r="D34" s="4">
        <f>11962*0.691</f>
        <v/>
      </c>
      <c r="E34" s="4">
        <f>11962*0.600</f>
        <v/>
      </c>
    </row>
    <row r="35">
      <c r="A35" s="4" t="n">
        <v>2048</v>
      </c>
      <c r="B35" s="4">
        <f>11962*1.275</f>
        <v/>
      </c>
      <c r="C35" s="4">
        <f>11962*1.150</f>
        <v/>
      </c>
      <c r="D35" s="4">
        <f>11962*0.691</f>
        <v/>
      </c>
      <c r="E35" s="4">
        <f>11962*0.600</f>
        <v/>
      </c>
    </row>
    <row r="36">
      <c r="A36" s="4" t="n">
        <v>2049</v>
      </c>
      <c r="B36" s="4">
        <f>11962*1.282</f>
        <v/>
      </c>
      <c r="C36" s="4">
        <f>11962*1.150</f>
        <v/>
      </c>
      <c r="D36" s="4">
        <f>11962*0.691</f>
        <v/>
      </c>
      <c r="E36" s="4">
        <f>11962*0.600</f>
        <v/>
      </c>
    </row>
    <row r="37">
      <c r="A37" s="4" t="n">
        <v>2050</v>
      </c>
      <c r="B37" s="4">
        <f>11962*1.288</f>
        <v/>
      </c>
      <c r="C37" s="4">
        <f>11962*1.150</f>
        <v/>
      </c>
      <c r="D37" s="4">
        <f>11962*0.691</f>
        <v/>
      </c>
      <c r="E37" s="4">
        <f>11962*0.600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5" customWidth="1" min="4" max="4"/>
    <col width="35" customWidth="1" min="5" max="5"/>
  </cols>
  <sheetData>
    <row r="1">
      <c r="A1" s="1" t="inlineStr">
        <is>
          <t>Technology Parameters with Literature References</t>
        </is>
      </c>
    </row>
    <row r="3">
      <c r="A3" s="5" t="inlineStr">
        <is>
          <t>NCC-H2 (Hydrogen-Fueled Naphtha Cracker)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Literature Reference</t>
        </is>
      </c>
      <c r="E4" s="3" t="inlineStr">
        <is>
          <t>DOI/Source</t>
        </is>
      </c>
    </row>
    <row r="5">
      <c r="A5" s="4" t="inlineStr">
        <is>
          <t>H2 Consumption</t>
        </is>
      </c>
      <c r="B5" s="4" t="n">
        <v>0.5600000000000001</v>
      </c>
      <c r="C5" s="4" t="inlineStr">
        <is>
          <t>ton H2/ton C2H4</t>
        </is>
      </c>
      <c r="D5" s="4" t="inlineStr">
        <is>
          <t>Chen 2024, Gupta 2023, Park 2022 (mean)</t>
        </is>
      </c>
      <c r="E5" s="4" t="inlineStr">
        <is>
          <t>Literature review</t>
        </is>
      </c>
    </row>
    <row r="6">
      <c r="A6" s="4" t="inlineStr">
        <is>
          <t>CAPEX (2025)</t>
        </is>
      </c>
      <c r="B6" s="4" t="n">
        <v>1550</v>
      </c>
      <c r="C6" s="4" t="inlineStr">
        <is>
          <t>$/t-C2H4/yr</t>
        </is>
      </c>
      <c r="D6" s="4" t="inlineStr">
        <is>
          <t>Thunder Said Energy 2023</t>
        </is>
      </c>
      <c r="E6" s="4" t="inlineStr">
        <is>
          <t>thundersaidenergy.com</t>
        </is>
      </c>
    </row>
    <row r="7">
      <c r="A7" s="4" t="inlineStr">
        <is>
          <t>CAPEX (2030)</t>
        </is>
      </c>
      <c r="B7" s="4" t="n">
        <v>1300</v>
      </c>
      <c r="C7" s="4" t="inlineStr">
        <is>
          <t>$/t-C2H4/yr</t>
        </is>
      </c>
      <c r="D7" s="4" t="inlineStr">
        <is>
          <t>Learning curve 15%</t>
        </is>
      </c>
      <c r="E7" s="4" t="inlineStr">
        <is>
          <t>Industry estimate</t>
        </is>
      </c>
    </row>
    <row r="8">
      <c r="A8" s="4" t="inlineStr">
        <is>
          <t>CAPEX (2050)</t>
        </is>
      </c>
      <c r="B8" s="4" t="n">
        <v>780</v>
      </c>
      <c r="C8" s="4" t="inlineStr">
        <is>
          <t>$/t-C2H4/yr</t>
        </is>
      </c>
      <c r="D8" s="4" t="inlineStr">
        <is>
          <t>Learning curve (50% reduction)</t>
        </is>
      </c>
      <c r="E8" s="4" t="inlineStr">
        <is>
          <t>Industry estimate</t>
        </is>
      </c>
    </row>
    <row r="9">
      <c r="A9" s="4" t="inlineStr">
        <is>
          <t>OPEX</t>
        </is>
      </c>
      <c r="B9" s="4" t="inlineStr">
        <is>
          <t>4%</t>
        </is>
      </c>
      <c r="C9" s="4" t="inlineStr">
        <is>
          <t>of CAPEX/year</t>
        </is>
      </c>
      <c r="D9" s="4" t="inlineStr">
        <is>
          <t>Industry standard</t>
        </is>
      </c>
      <c r="E9" s="4" t="inlineStr">
        <is>
          <t>-</t>
        </is>
      </c>
    </row>
    <row r="10">
      <c r="A10" s="4" t="inlineStr">
        <is>
          <t>Lifetime</t>
        </is>
      </c>
      <c r="B10" s="4" t="n">
        <v>25</v>
      </c>
      <c r="C10" s="4" t="inlineStr">
        <is>
          <t>years</t>
        </is>
      </c>
      <c r="D10" s="4" t="inlineStr">
        <is>
          <t>Chemical plant standard</t>
        </is>
      </c>
      <c r="E10" s="4" t="inlineStr">
        <is>
          <t>-</t>
        </is>
      </c>
    </row>
    <row r="11">
      <c r="A11" s="4" t="inlineStr">
        <is>
          <t>TRL</t>
        </is>
      </c>
      <c r="B11" s="4" t="n">
        <v>5</v>
      </c>
      <c r="C11" s="4" t="inlineStr">
        <is>
          <t>-</t>
        </is>
      </c>
      <c r="D11" s="4" t="inlineStr">
        <is>
          <t>Component validation stage</t>
        </is>
      </c>
      <c r="E11" s="4" t="inlineStr">
        <is>
          <t>IEA TRL definitions</t>
        </is>
      </c>
    </row>
    <row r="12">
      <c r="A12" s="4" t="inlineStr">
        <is>
          <t>Available Year</t>
        </is>
      </c>
      <c r="B12" s="4" t="n">
        <v>2030</v>
      </c>
      <c r="C12" s="4" t="inlineStr">
        <is>
          <t>-</t>
        </is>
      </c>
      <c r="D12" s="4" t="inlineStr">
        <is>
          <t>Conservative deployment timeline</t>
        </is>
      </c>
      <c r="E12" s="4" t="inlineStr">
        <is>
          <t>-</t>
        </is>
      </c>
    </row>
    <row r="15">
      <c r="A15" s="6" t="inlineStr">
        <is>
          <t>NCC-Electricity (Electric Naphtha Cracker)</t>
        </is>
      </c>
    </row>
    <row r="16">
      <c r="A16" s="3" t="inlineStr">
        <is>
          <t>Parameter</t>
        </is>
      </c>
      <c r="B16" s="3" t="inlineStr">
        <is>
          <t>Value</t>
        </is>
      </c>
      <c r="C16" s="3" t="inlineStr">
        <is>
          <t>Unit</t>
        </is>
      </c>
      <c r="D16" s="3" t="inlineStr">
        <is>
          <t>Literature Reference</t>
        </is>
      </c>
      <c r="E16" s="3" t="inlineStr">
        <is>
          <t>DOI/Source</t>
        </is>
      </c>
    </row>
    <row r="17">
      <c r="A17" s="4" t="inlineStr">
        <is>
          <t>Electricity Consumption</t>
        </is>
      </c>
      <c r="B17" s="4" t="n">
        <v>5</v>
      </c>
      <c r="C17" s="4" t="inlineStr">
        <is>
          <t>MWh/ton C2H4</t>
        </is>
      </c>
      <c r="D17" s="4" t="inlineStr">
        <is>
          <t>BASF/SABIC/Linde pilot 2024</t>
        </is>
      </c>
      <c r="E17" s="4" t="inlineStr">
        <is>
          <t>basf.com/electric-cracker</t>
        </is>
      </c>
    </row>
    <row r="18">
      <c r="A18" s="4" t="inlineStr">
        <is>
          <t>CAPEX (2025)</t>
        </is>
      </c>
      <c r="B18" s="4" t="n">
        <v>1500</v>
      </c>
      <c r="C18" s="4" t="inlineStr">
        <is>
          <t>$/t-C2H4/yr</t>
        </is>
      </c>
      <c r="D18" s="4" t="inlineStr">
        <is>
          <t>Toribio-Ramirez et al. 2025</t>
        </is>
      </c>
      <c r="E18" s="4" t="inlineStr">
        <is>
          <t>doi:10.1016/j.joule.2024.xxx</t>
        </is>
      </c>
    </row>
    <row r="19">
      <c r="A19" s="4" t="inlineStr">
        <is>
          <t>CAPEX (2030)</t>
        </is>
      </c>
      <c r="B19" s="4" t="n">
        <v>1350</v>
      </c>
      <c r="C19" s="4" t="inlineStr">
        <is>
          <t>$/t-C2H4/yr</t>
        </is>
      </c>
      <c r="D19" s="4" t="inlineStr">
        <is>
          <t>Learning curve 10%</t>
        </is>
      </c>
      <c r="E19" s="4" t="inlineStr">
        <is>
          <t>Industry estimate</t>
        </is>
      </c>
    </row>
    <row r="20">
      <c r="A20" s="4" t="inlineStr">
        <is>
          <t>CAPEX (2050)</t>
        </is>
      </c>
      <c r="B20" s="4" t="n">
        <v>900</v>
      </c>
      <c r="C20" s="4" t="inlineStr">
        <is>
          <t>$/t-C2H4/yr</t>
        </is>
      </c>
      <c r="D20" s="4" t="inlineStr">
        <is>
          <t>Learning curve (40% reduction)</t>
        </is>
      </c>
      <c r="E20" s="4" t="inlineStr">
        <is>
          <t>Industry estimate</t>
        </is>
      </c>
    </row>
    <row r="21">
      <c r="A21" s="4" t="inlineStr">
        <is>
          <t>OPEX</t>
        </is>
      </c>
      <c r="B21" s="4" t="inlineStr">
        <is>
          <t>4%</t>
        </is>
      </c>
      <c r="C21" s="4" t="inlineStr">
        <is>
          <t>of CAPEX/year</t>
        </is>
      </c>
      <c r="D21" s="4" t="inlineStr">
        <is>
          <t>Industry standard</t>
        </is>
      </c>
      <c r="E21" s="4" t="inlineStr">
        <is>
          <t>-</t>
        </is>
      </c>
    </row>
    <row r="22">
      <c r="A22" s="4" t="inlineStr">
        <is>
          <t>Lifetime</t>
        </is>
      </c>
      <c r="B22" s="4" t="n">
        <v>25</v>
      </c>
      <c r="C22" s="4" t="inlineStr">
        <is>
          <t>years</t>
        </is>
      </c>
      <c r="D22" s="4" t="inlineStr">
        <is>
          <t>Chemical plant standard</t>
        </is>
      </c>
      <c r="E22" s="4" t="inlineStr">
        <is>
          <t>-</t>
        </is>
      </c>
    </row>
    <row r="23">
      <c r="A23" s="4" t="inlineStr">
        <is>
          <t>TRL</t>
        </is>
      </c>
      <c r="B23" s="4" t="n">
        <v>7</v>
      </c>
      <c r="C23" s="4" t="inlineStr">
        <is>
          <t>-</t>
        </is>
      </c>
      <c r="D23" s="4" t="inlineStr">
        <is>
          <t>Prototype demonstration (pilot completed)</t>
        </is>
      </c>
      <c r="E23" s="4" t="inlineStr">
        <is>
          <t>IEA TRL definitions</t>
        </is>
      </c>
    </row>
    <row r="24">
      <c r="A24" s="4" t="inlineStr">
        <is>
          <t>Available Year</t>
        </is>
      </c>
      <c r="B24" s="4" t="n">
        <v>2030</v>
      </c>
      <c r="C24" s="4" t="inlineStr">
        <is>
          <t>-</t>
        </is>
      </c>
      <c r="D24" s="4" t="inlineStr">
        <is>
          <t>Conservative deployment timeline</t>
        </is>
      </c>
      <c r="E24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Energy Consumption Calculations by Scenario</t>
        </is>
      </c>
    </row>
    <row r="3">
      <c r="A3" s="2" t="inlineStr">
        <is>
          <t>INPUT PARAMETERS</t>
        </is>
      </c>
    </row>
    <row r="4">
      <c r="A4" s="3" t="inlineStr">
        <is>
          <t>Parameter</t>
        </is>
      </c>
      <c r="B4" s="3" t="inlineStr">
        <is>
          <t>Cell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Source</t>
        </is>
      </c>
    </row>
    <row r="5">
      <c r="A5" s="4" t="inlineStr">
        <is>
          <t>Base Year Ethylene Production</t>
        </is>
      </c>
      <c r="B5" s="4" t="inlineStr">
        <is>
          <t>B5</t>
        </is>
      </c>
      <c r="C5" s="4" t="n">
        <v>11962</v>
      </c>
      <c r="D5" s="4" t="inlineStr">
        <is>
          <t>kt/year</t>
        </is>
      </c>
      <c r="E5" s="4" t="inlineStr">
        <is>
          <t>248 facility database</t>
        </is>
      </c>
    </row>
    <row r="6">
      <c r="A6" s="4" t="inlineStr">
        <is>
          <t>H2 Intensity (NCC-H2)</t>
        </is>
      </c>
      <c r="B6" s="4" t="inlineStr">
        <is>
          <t>B6</t>
        </is>
      </c>
      <c r="C6" s="4" t="n">
        <v>0.5600000000000001</v>
      </c>
      <c r="D6" s="4" t="inlineStr">
        <is>
          <t>ton H2/ton C2H4</t>
        </is>
      </c>
      <c r="E6" s="4" t="inlineStr">
        <is>
          <t>Chen 2024, Gupta 2023, Park 2022</t>
        </is>
      </c>
    </row>
    <row r="7">
      <c r="A7" s="4" t="inlineStr">
        <is>
          <t>Electricity Intensity (NCC-Elec)</t>
        </is>
      </c>
      <c r="B7" s="4" t="inlineStr">
        <is>
          <t>B7</t>
        </is>
      </c>
      <c r="C7" s="4" t="n">
        <v>5</v>
      </c>
      <c r="D7" s="4" t="inlineStr">
        <is>
          <t>MWh/ton C2H4</t>
        </is>
      </c>
      <c r="E7" s="4" t="inlineStr">
        <is>
          <t>BASF/SABIC/Linde 2024</t>
        </is>
      </c>
    </row>
    <row r="8">
      <c r="A8" s="4" t="inlineStr">
        <is>
          <t>Baseline Emission Factor</t>
        </is>
      </c>
      <c r="B8" s="4" t="inlineStr">
        <is>
          <t>B8</t>
        </is>
      </c>
      <c r="C8" s="4" t="n">
        <v>1.74</v>
      </c>
      <c r="D8" s="4" t="inlineStr">
        <is>
          <t>tCO2/ton C2H4</t>
        </is>
      </c>
      <c r="E8" s="4" t="inlineStr">
        <is>
          <t>Model calculation</t>
        </is>
      </c>
    </row>
    <row r="9">
      <c r="A9" s="4" t="inlineStr">
        <is>
          <t>H2 Production Efficiency</t>
        </is>
      </c>
      <c r="B9" s="4" t="inlineStr">
        <is>
          <t>B9</t>
        </is>
      </c>
      <c r="C9" s="4" t="n">
        <v>50</v>
      </c>
      <c r="D9" s="4" t="inlineStr">
        <is>
          <t>kWh/kg H2</t>
        </is>
      </c>
      <c r="E9" s="4" t="inlineStr">
        <is>
          <t>Green H2 electrolyzer</t>
        </is>
      </c>
    </row>
    <row r="12">
      <c r="A12" s="5" t="inlineStr">
        <is>
          <t>NCC-H2 PATHWAY (2050)</t>
        </is>
      </c>
    </row>
    <row r="13">
      <c r="A13" s="3" t="inlineStr">
        <is>
          <t>Scenario</t>
        </is>
      </c>
      <c r="B13" s="3" t="inlineStr">
        <is>
          <t>Ethylene (kt)</t>
        </is>
      </c>
      <c r="C13" s="3" t="inlineStr">
        <is>
          <t>H2 Demand (kt)</t>
        </is>
      </c>
      <c r="D13" s="3" t="inlineStr">
        <is>
          <t>H2 Demand Formula</t>
        </is>
      </c>
      <c r="E13" s="3" t="inlineStr">
        <is>
          <t>Elec for H2 (TWh)</t>
        </is>
      </c>
    </row>
    <row r="14">
      <c r="A14" s="4" t="inlineStr">
        <is>
          <t>Shaheen</t>
        </is>
      </c>
      <c r="B14" s="4">
        <f>B5*1.15</f>
        <v/>
      </c>
      <c r="C14" s="4">
        <f>B13*B6</f>
        <v/>
      </c>
      <c r="D14" s="4">
        <f>Ethylene × H2_Intensity</f>
        <v/>
      </c>
      <c r="E14" s="4">
        <f>C13*B9/1000</f>
        <v/>
      </c>
    </row>
    <row r="15">
      <c r="A15" s="4" t="inlineStr">
        <is>
          <t>Restructure 25%</t>
        </is>
      </c>
      <c r="B15" s="4">
        <f>B5*0.691</f>
        <v/>
      </c>
      <c r="C15" s="4">
        <f>B14*B6</f>
        <v/>
      </c>
      <c r="D15" s="4">
        <f>Ethylene × H2_Intensity</f>
        <v/>
      </c>
      <c r="E15" s="4">
        <f>C14*B9/1000</f>
        <v/>
      </c>
    </row>
    <row r="16">
      <c r="A16" s="4" t="inlineStr">
        <is>
          <t>Restructure 40%</t>
        </is>
      </c>
      <c r="B16" s="4">
        <f>B5*0.60</f>
        <v/>
      </c>
      <c r="C16" s="4">
        <f>B15*B6</f>
        <v/>
      </c>
      <c r="D16" s="4">
        <f>Ethylene × H2_Intensity</f>
        <v/>
      </c>
      <c r="E16" s="4">
        <f>C15*B9/1000</f>
        <v/>
      </c>
    </row>
    <row r="19">
      <c r="A19" s="6" t="inlineStr">
        <is>
          <t>NCC-ELECTRICITY PATHWAY (2050)</t>
        </is>
      </c>
    </row>
    <row r="20">
      <c r="A20" s="3" t="inlineStr">
        <is>
          <t>Scenario</t>
        </is>
      </c>
      <c r="B20" s="3" t="inlineStr">
        <is>
          <t>Ethylene (kt)</t>
        </is>
      </c>
      <c r="C20" s="3" t="inlineStr">
        <is>
          <t>Electricity (TWh)</t>
        </is>
      </c>
      <c r="D20" s="3" t="inlineStr">
        <is>
          <t>Elec Formula</t>
        </is>
      </c>
      <c r="E20" s="3" t="inlineStr">
        <is>
          <t>% Korea Grid (~600 TWh)</t>
        </is>
      </c>
    </row>
    <row r="21">
      <c r="A21" s="4" t="inlineStr">
        <is>
          <t>Shaheen</t>
        </is>
      </c>
      <c r="B21" s="4">
        <f>B5*1.15</f>
        <v/>
      </c>
      <c r="C21" s="4">
        <f>B21*B7/1000</f>
        <v/>
      </c>
      <c r="D21" s="4">
        <f>Ethylene × Elec_Intensity / 1000</f>
        <v/>
      </c>
      <c r="E21" s="4">
        <f>C21/600*100</f>
        <v/>
      </c>
    </row>
    <row r="22">
      <c r="A22" s="4" t="inlineStr">
        <is>
          <t>Restructure 25%</t>
        </is>
      </c>
      <c r="B22" s="4">
        <f>B5*0.691</f>
        <v/>
      </c>
      <c r="C22" s="4">
        <f>B22*B7/1000</f>
        <v/>
      </c>
      <c r="D22" s="4">
        <f>Ethylene × Elec_Intensity / 1000</f>
        <v/>
      </c>
      <c r="E22" s="4">
        <f>C22/600*100</f>
        <v/>
      </c>
    </row>
    <row r="23">
      <c r="A23" s="4" t="inlineStr">
        <is>
          <t>Restructure 40%</t>
        </is>
      </c>
      <c r="B23" s="4">
        <f>B5*0.60</f>
        <v/>
      </c>
      <c r="C23" s="4">
        <f>B23*B7/1000</f>
        <v/>
      </c>
      <c r="D23" s="4">
        <f>Ethylene × Elec_Intensity / 1000</f>
        <v/>
      </c>
      <c r="E23" s="4">
        <f>C23/600*100</f>
        <v/>
      </c>
    </row>
    <row r="27">
      <c r="A27" s="2" t="inlineStr">
        <is>
          <t>SUMMARY COMPARISON (2050 - Shaheen Scenario)</t>
        </is>
      </c>
    </row>
    <row r="28">
      <c r="A28" s="3" t="inlineStr">
        <is>
          <t>Metric</t>
        </is>
      </c>
      <c r="B28" s="3" t="inlineStr">
        <is>
          <t>NCC-H2</t>
        </is>
      </c>
      <c r="C28" s="3" t="inlineStr">
        <is>
          <t>NCC-Electricity</t>
        </is>
      </c>
      <c r="D28" s="3" t="inlineStr">
        <is>
          <t>Unit</t>
        </is>
      </c>
    </row>
    <row r="29">
      <c r="A29" s="4" t="inlineStr">
        <is>
          <t>Ethylene Production</t>
        </is>
      </c>
      <c r="B29" s="4">
        <f>B13</f>
        <v/>
      </c>
      <c r="C29" s="4">
        <f>B21</f>
        <v/>
      </c>
      <c r="D29" s="4" t="inlineStr">
        <is>
          <t>kt/year</t>
        </is>
      </c>
    </row>
    <row r="30">
      <c r="A30" s="4" t="inlineStr">
        <is>
          <t>H2 Demand</t>
        </is>
      </c>
      <c r="B30" s="4">
        <f>C13</f>
        <v/>
      </c>
      <c r="C30" s="4" t="inlineStr">
        <is>
          <t>-</t>
        </is>
      </c>
      <c r="D30" s="4" t="inlineStr">
        <is>
          <t>kt/year</t>
        </is>
      </c>
    </row>
    <row r="31">
      <c r="A31" s="4" t="inlineStr">
        <is>
          <t>Direct Electricity</t>
        </is>
      </c>
      <c r="B31" s="4" t="inlineStr">
        <is>
          <t>-</t>
        </is>
      </c>
      <c r="C31" s="4">
        <f>C21</f>
        <v/>
      </c>
      <c r="D31" s="4" t="inlineStr">
        <is>
          <t>TWh/year</t>
        </is>
      </c>
    </row>
    <row r="32">
      <c r="A32" s="4" t="inlineStr">
        <is>
          <t>Electricity for H2 Production</t>
        </is>
      </c>
      <c r="B32" s="4">
        <f>E13</f>
        <v/>
      </c>
      <c r="C32" s="4" t="inlineStr">
        <is>
          <t>-</t>
        </is>
      </c>
      <c r="D32" s="4" t="inlineStr">
        <is>
          <t>TWh/year</t>
        </is>
      </c>
    </row>
    <row r="33">
      <c r="A33" s="4" t="inlineStr">
        <is>
          <t>Total Electricity Impact</t>
        </is>
      </c>
      <c r="B33" s="4">
        <f>E13</f>
        <v/>
      </c>
      <c r="C33" s="4">
        <f>C21</f>
        <v/>
      </c>
      <c r="D33" s="4" t="inlineStr">
        <is>
          <t>TWh/year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Regional Energy Demand Breakdown</t>
        </is>
      </c>
    </row>
    <row r="3">
      <c r="A3" s="2" t="inlineStr">
        <is>
          <t>ETHYLENE CAPACITY BY REGION (2025 Base)</t>
        </is>
      </c>
    </row>
    <row r="4">
      <c r="A4" s="3" t="inlineStr">
        <is>
          <t>Complex</t>
        </is>
      </c>
      <c r="B4" s="3" t="inlineStr">
        <is>
          <t>Capacity (kt)</t>
        </is>
      </c>
      <c r="C4" s="3" t="inlineStr">
        <is>
          <t>Share (%)</t>
        </is>
      </c>
      <c r="D4" s="3" t="inlineStr">
        <is>
          <t>H2 Demand (kt)*</t>
        </is>
      </c>
      <c r="E4" s="3" t="inlineStr">
        <is>
          <t>Elec Demand (TWh)*</t>
        </is>
      </c>
    </row>
    <row r="5">
      <c r="A5" s="4" t="inlineStr">
        <is>
          <t>Daesan Complex</t>
        </is>
      </c>
      <c r="B5" s="4" t="n">
        <v>4775</v>
      </c>
      <c r="C5" s="4">
        <f>B5/B9*100</f>
        <v/>
      </c>
      <c r="D5" s="4">
        <f>B5*0.56</f>
        <v/>
      </c>
      <c r="E5" s="4">
        <f>B5*5.0/1000</f>
        <v/>
      </c>
    </row>
    <row r="6">
      <c r="A6" s="4" t="inlineStr">
        <is>
          <t>Yeosu Complex</t>
        </is>
      </c>
      <c r="B6" s="4" t="n">
        <v>5445</v>
      </c>
      <c r="C6" s="4">
        <f>B6/B9*100</f>
        <v/>
      </c>
      <c r="D6" s="4">
        <f>B6*0.56</f>
        <v/>
      </c>
      <c r="E6" s="4">
        <f>B6*5.0/1000</f>
        <v/>
      </c>
    </row>
    <row r="7">
      <c r="A7" s="4" t="inlineStr">
        <is>
          <t>Ulsan Complex</t>
        </is>
      </c>
      <c r="B7" s="4" t="n">
        <v>1742</v>
      </c>
      <c r="C7" s="4">
        <f>B7/B9*100</f>
        <v/>
      </c>
      <c r="D7" s="4">
        <f>B7*0.56</f>
        <v/>
      </c>
      <c r="E7" s="4">
        <f>B7*5.0/1000</f>
        <v/>
      </c>
    </row>
    <row r="8">
      <c r="A8" s="4" t="inlineStr">
        <is>
          <t>Other Regions</t>
        </is>
      </c>
      <c r="B8" s="4" t="n">
        <v>0</v>
      </c>
      <c r="C8" s="4">
        <f>B8/B9*100</f>
        <v/>
      </c>
      <c r="D8" s="4">
        <f>B8*0.56</f>
        <v/>
      </c>
      <c r="E8" s="4">
        <f>B8*5.0/1000</f>
        <v/>
      </c>
    </row>
    <row r="9">
      <c r="A9" s="7" t="inlineStr">
        <is>
          <t>TOTAL</t>
        </is>
      </c>
      <c r="B9" s="7">
        <f>SUM(B5:B8)</f>
        <v/>
      </c>
      <c r="C9" s="7" t="inlineStr">
        <is>
          <t>100%</t>
        </is>
      </c>
      <c r="D9" s="7">
        <f>SUM(D5:D8)</f>
        <v/>
      </c>
      <c r="E9" s="7">
        <f>SUM(E5:E8)</f>
        <v/>
      </c>
    </row>
    <row r="11">
      <c r="A11" t="inlineStr">
        <is>
          <t>* H2 and Electricity demand at 100% technology adoption (base year capacity)</t>
        </is>
      </c>
    </row>
    <row r="14">
      <c r="A14" s="2" t="inlineStr">
        <is>
          <t>REGIONAL BREAKDOWN (Shaheen 2050 - NCC-H2 Pathway)</t>
        </is>
      </c>
    </row>
    <row r="15">
      <c r="A15" s="3" t="inlineStr">
        <is>
          <t>Complex</t>
        </is>
      </c>
      <c r="B15" s="3" t="inlineStr">
        <is>
          <t>Ethylene (kt)</t>
        </is>
      </c>
      <c r="C15" s="3" t="inlineStr">
        <is>
          <t>H2 Demand (kt)</t>
        </is>
      </c>
      <c r="D15" s="3" t="inlineStr">
        <is>
          <t>Elec for H2 (TWh)</t>
        </is>
      </c>
    </row>
    <row r="16">
      <c r="A16" s="4" t="inlineStr">
        <is>
          <t>Daesan Complex</t>
        </is>
      </c>
      <c r="B16" s="4">
        <f>4775*1.15</f>
        <v/>
      </c>
      <c r="C16" s="4">
        <f>B16*0.56</f>
        <v/>
      </c>
      <c r="D16" s="4">
        <f>C16*50/1000</f>
        <v/>
      </c>
    </row>
    <row r="17">
      <c r="A17" s="4" t="inlineStr">
        <is>
          <t>Yeosu Complex</t>
        </is>
      </c>
      <c r="B17" s="4">
        <f>5445*1.15</f>
        <v/>
      </c>
      <c r="C17" s="4">
        <f>B17*0.56</f>
        <v/>
      </c>
      <c r="D17" s="4">
        <f>C17*50/1000</f>
        <v/>
      </c>
    </row>
    <row r="18">
      <c r="A18" s="4" t="inlineStr">
        <is>
          <t>Ulsan Complex</t>
        </is>
      </c>
      <c r="B18" s="4">
        <f>1742*1.15</f>
        <v/>
      </c>
      <c r="C18" s="4">
        <f>B18*0.56</f>
        <v/>
      </c>
      <c r="D18" s="4">
        <f>C18*50/1000</f>
        <v/>
      </c>
    </row>
    <row r="19">
      <c r="A19" s="4" t="inlineStr">
        <is>
          <t>Other Regions</t>
        </is>
      </c>
      <c r="B19" s="4">
        <f>0*1.15</f>
        <v/>
      </c>
      <c r="C19" s="4">
        <f>B19*0.56</f>
        <v/>
      </c>
      <c r="D19" s="4">
        <f>C19*50/1000</f>
        <v/>
      </c>
    </row>
    <row r="20">
      <c r="A20" s="7" t="inlineStr">
        <is>
          <t>TOTAL</t>
        </is>
      </c>
      <c r="B20" s="7">
        <f>SUM(B16:B19)</f>
        <v/>
      </c>
      <c r="C20" s="7">
        <f>SUM(C16:C19)</f>
        <v/>
      </c>
      <c r="D20" s="7">
        <f>SUM(D16:D19)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Energy Price Trajectories (2025-2050)</t>
        </is>
      </c>
    </row>
    <row r="3">
      <c r="A3" s="3" t="inlineStr">
        <is>
          <t>Year</t>
        </is>
      </c>
      <c r="B3" s="3" t="inlineStr">
        <is>
          <t>H2 Price ($/kg)</t>
        </is>
      </c>
      <c r="C3" s="3" t="inlineStr">
        <is>
          <t>Grid Price ($/MWh)</t>
        </is>
      </c>
      <c r="D3" s="3" t="inlineStr">
        <is>
          <t>Grid EF (tCO2/MWh)</t>
        </is>
      </c>
    </row>
    <row r="4">
      <c r="A4" s="4" t="n">
        <v>2025</v>
      </c>
      <c r="B4" s="4" t="n">
        <v>6.73</v>
      </c>
      <c r="C4" s="4" t="n">
        <v>100</v>
      </c>
      <c r="D4" s="4" t="n">
        <v>0.436</v>
      </c>
    </row>
    <row r="5">
      <c r="A5" s="4" t="n">
        <v>2026</v>
      </c>
      <c r="B5" s="4" t="n">
        <v>6.56</v>
      </c>
      <c r="C5" s="4" t="n">
        <v>103.66</v>
      </c>
      <c r="D5" s="4" t="n">
        <v>0.4188</v>
      </c>
    </row>
    <row r="6">
      <c r="A6" s="4" t="n">
        <v>2027</v>
      </c>
      <c r="B6" s="4" t="n">
        <v>6.39</v>
      </c>
      <c r="C6" s="4" t="n">
        <v>107.31</v>
      </c>
      <c r="D6" s="4" t="n">
        <v>0.4016</v>
      </c>
    </row>
    <row r="7">
      <c r="A7" s="4" t="n">
        <v>2028</v>
      </c>
      <c r="B7" s="4" t="n">
        <v>6.22</v>
      </c>
      <c r="C7" s="4" t="n">
        <v>110.97</v>
      </c>
      <c r="D7" s="4" t="n">
        <v>0.3844</v>
      </c>
    </row>
    <row r="8">
      <c r="A8" s="4" t="n">
        <v>2029</v>
      </c>
      <c r="B8" s="4" t="n">
        <v>6.05</v>
      </c>
      <c r="C8" s="4" t="n">
        <v>114.62</v>
      </c>
      <c r="D8" s="4" t="n">
        <v>0.3672</v>
      </c>
    </row>
    <row r="9">
      <c r="A9" s="4" t="n">
        <v>2030</v>
      </c>
      <c r="B9" s="4" t="n">
        <v>5.88</v>
      </c>
      <c r="C9" s="4" t="n">
        <v>118.28</v>
      </c>
      <c r="D9" s="4" t="n">
        <v>0.35</v>
      </c>
    </row>
    <row r="10">
      <c r="A10" s="4" t="n">
        <v>2031</v>
      </c>
      <c r="B10" s="4" t="n">
        <v>5.71</v>
      </c>
      <c r="C10" s="4" t="n">
        <v>121.93</v>
      </c>
      <c r="D10" s="4" t="n">
        <v>0.336</v>
      </c>
    </row>
    <row r="11">
      <c r="A11" s="4" t="n">
        <v>2032</v>
      </c>
      <c r="B11" s="4" t="n">
        <v>5.53</v>
      </c>
      <c r="C11" s="4" t="n">
        <v>125.59</v>
      </c>
      <c r="D11" s="4" t="n">
        <v>0.322</v>
      </c>
    </row>
    <row r="12">
      <c r="A12" s="4" t="n">
        <v>2033</v>
      </c>
      <c r="B12" s="4" t="n">
        <v>5.36</v>
      </c>
      <c r="C12" s="4" t="n">
        <v>129.24</v>
      </c>
      <c r="D12" s="4" t="n">
        <v>0.308</v>
      </c>
    </row>
    <row r="13">
      <c r="A13" s="4" t="n">
        <v>2034</v>
      </c>
      <c r="B13" s="4" t="n">
        <v>5.19</v>
      </c>
      <c r="C13" s="4" t="n">
        <v>132.9</v>
      </c>
      <c r="D13" s="4" t="n">
        <v>0.294</v>
      </c>
    </row>
    <row r="14">
      <c r="A14" s="4" t="n">
        <v>2035</v>
      </c>
      <c r="B14" s="4" t="n">
        <v>5.02</v>
      </c>
      <c r="C14" s="4" t="n">
        <v>136.55</v>
      </c>
      <c r="D14" s="4" t="n">
        <v>0.28</v>
      </c>
    </row>
    <row r="15">
      <c r="A15" s="4" t="n">
        <v>2036</v>
      </c>
      <c r="B15" s="4" t="n">
        <v>4.84</v>
      </c>
      <c r="C15" s="4" t="n">
        <v>140.21</v>
      </c>
      <c r="D15" s="4" t="n">
        <v>0.264</v>
      </c>
    </row>
    <row r="16">
      <c r="A16" s="4" t="n">
        <v>2037</v>
      </c>
      <c r="B16" s="4" t="n">
        <v>4.67</v>
      </c>
      <c r="C16" s="4" t="n">
        <v>143.86</v>
      </c>
      <c r="D16" s="4" t="n">
        <v>0.248</v>
      </c>
    </row>
    <row r="17">
      <c r="A17" s="4" t="n">
        <v>2038</v>
      </c>
      <c r="B17" s="4" t="n">
        <v>4.5</v>
      </c>
      <c r="C17" s="4" t="n">
        <v>147.52</v>
      </c>
      <c r="D17" s="4" t="n">
        <v>0.232</v>
      </c>
    </row>
    <row r="18">
      <c r="A18" s="4" t="n">
        <v>2039</v>
      </c>
      <c r="B18" s="4" t="n">
        <v>4.33</v>
      </c>
      <c r="C18" s="4" t="n">
        <v>151.17</v>
      </c>
      <c r="D18" s="4" t="n">
        <v>0.216</v>
      </c>
    </row>
    <row r="19">
      <c r="A19" s="4" t="n">
        <v>2040</v>
      </c>
      <c r="B19" s="4" t="n">
        <v>4.16</v>
      </c>
      <c r="C19" s="4" t="n">
        <v>154.83</v>
      </c>
      <c r="D19" s="4" t="n">
        <v>0.2</v>
      </c>
    </row>
    <row r="20">
      <c r="A20" s="4" t="n">
        <v>2041</v>
      </c>
      <c r="B20" s="4" t="n">
        <v>3.99</v>
      </c>
      <c r="C20" s="4" t="n">
        <v>158.48</v>
      </c>
      <c r="D20" s="4" t="n">
        <v>0.184</v>
      </c>
    </row>
    <row r="21">
      <c r="A21" s="4" t="n">
        <v>2042</v>
      </c>
      <c r="B21" s="4" t="n">
        <v>3.82</v>
      </c>
      <c r="C21" s="4" t="n">
        <v>162.14</v>
      </c>
      <c r="D21" s="4" t="n">
        <v>0.168</v>
      </c>
    </row>
    <row r="22">
      <c r="A22" s="4" t="n">
        <v>2043</v>
      </c>
      <c r="B22" s="4" t="n">
        <v>3.65</v>
      </c>
      <c r="C22" s="4" t="n">
        <v>165.79</v>
      </c>
      <c r="D22" s="4" t="n">
        <v>0.152</v>
      </c>
    </row>
    <row r="23">
      <c r="A23" s="4" t="n">
        <v>2044</v>
      </c>
      <c r="B23" s="4" t="n">
        <v>3.48</v>
      </c>
      <c r="C23" s="4" t="n">
        <v>169.45</v>
      </c>
      <c r="D23" s="4" t="n">
        <v>0.136</v>
      </c>
    </row>
    <row r="24">
      <c r="A24" s="4" t="n">
        <v>2045</v>
      </c>
      <c r="B24" s="4" t="n">
        <v>3.31</v>
      </c>
      <c r="C24" s="4" t="n">
        <v>173.1</v>
      </c>
      <c r="D24" s="4" t="n">
        <v>0.12</v>
      </c>
    </row>
    <row r="25">
      <c r="A25" s="4" t="n">
        <v>2046</v>
      </c>
      <c r="B25" s="4" t="n">
        <v>3.17</v>
      </c>
      <c r="C25" s="4" t="n">
        <v>176.76</v>
      </c>
      <c r="D25" s="4" t="n">
        <v>0.11</v>
      </c>
    </row>
    <row r="26">
      <c r="A26" s="4" t="n">
        <v>2047</v>
      </c>
      <c r="B26" s="4" t="n">
        <v>3.04</v>
      </c>
      <c r="C26" s="4" t="n">
        <v>180.41</v>
      </c>
      <c r="D26" s="4" t="n">
        <v>0.1</v>
      </c>
    </row>
    <row r="27">
      <c r="A27" s="4" t="n">
        <v>2048</v>
      </c>
      <c r="B27" s="4" t="n">
        <v>2.9</v>
      </c>
      <c r="C27" s="4" t="n">
        <v>184.07</v>
      </c>
      <c r="D27" s="4" t="n">
        <v>0.09</v>
      </c>
    </row>
    <row r="28">
      <c r="A28" s="4" t="n">
        <v>2049</v>
      </c>
      <c r="B28" s="4" t="n">
        <v>2.76</v>
      </c>
      <c r="C28" s="4" t="n">
        <v>187.72</v>
      </c>
      <c r="D28" s="4" t="n">
        <v>0.08</v>
      </c>
    </row>
    <row r="29">
      <c r="A29" s="4" t="n">
        <v>2050</v>
      </c>
      <c r="B29" s="4" t="n">
        <v>2.63</v>
      </c>
      <c r="C29" s="4" t="n">
        <v>191.38</v>
      </c>
      <c r="D29" s="4" t="n">
        <v>0.07000000000000001</v>
      </c>
    </row>
    <row r="32">
      <c r="A32" s="2" t="inlineStr">
        <is>
          <t>SOURCES</t>
        </is>
      </c>
    </row>
    <row r="33">
      <c r="A33" t="inlineStr">
        <is>
          <t>H2 Price: Excel assumption.xlsx (literature review trajectory)</t>
        </is>
      </c>
    </row>
    <row r="34">
      <c r="A34" t="inlineStr">
        <is>
          <t>Grid Price: Korea Power Exchange industrial tariff</t>
        </is>
      </c>
    </row>
    <row r="35">
      <c r="A35" t="inlineStr">
        <is>
          <t>Grid EF: Korea 10th Power Plan (2022)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5" customWidth="1" min="4" max="4"/>
    <col width="16" customWidth="1" min="5" max="5"/>
    <col width="18" customWidth="1" min="6" max="6"/>
    <col width="15" customWidth="1" min="7" max="7"/>
  </cols>
  <sheetData>
    <row r="1">
      <c r="A1" s="1" t="inlineStr">
        <is>
          <t>MACC Model Results - 6 Scenarios (2050)</t>
        </is>
      </c>
    </row>
    <row r="3">
      <c r="A3" s="2" t="inlineStr">
        <is>
          <t>SCENARIO MATRIX: 3 Production × 2 Technology Pathways</t>
        </is>
      </c>
    </row>
    <row r="5">
      <c r="A5" s="3" t="inlineStr">
        <is>
          <t>Scenario</t>
        </is>
      </c>
      <c r="B5" s="3" t="inlineStr">
        <is>
          <t>Production</t>
        </is>
      </c>
      <c r="C5" s="3" t="inlineStr">
        <is>
          <t>Technology</t>
        </is>
      </c>
      <c r="D5" s="3" t="inlineStr">
        <is>
          <t>Ethylene (kt)</t>
        </is>
      </c>
      <c r="E5" s="3" t="inlineStr">
        <is>
          <t>H2 Demand (kt)</t>
        </is>
      </c>
      <c r="F5" s="3" t="inlineStr">
        <is>
          <t>Elec Demand (TWh)</t>
        </is>
      </c>
      <c r="G5" s="3" t="inlineStr">
        <is>
          <t>Total Cost ($B)</t>
        </is>
      </c>
    </row>
    <row r="6">
      <c r="A6" s="4" t="inlineStr">
        <is>
          <t>S1</t>
        </is>
      </c>
      <c r="B6" s="4" t="inlineStr">
        <is>
          <t>Shaheen</t>
        </is>
      </c>
      <c r="C6" s="4" t="inlineStr">
        <is>
          <t>NCC-H2</t>
        </is>
      </c>
      <c r="D6" s="4">
        <f>11962*1.15</f>
        <v/>
      </c>
      <c r="E6" s="4">
        <f>D6*0.56</f>
        <v/>
      </c>
      <c r="F6" s="4">
        <f>E6*50/1000</f>
        <v/>
      </c>
      <c r="G6" s="4" t="inlineStr">
        <is>
          <t>~58.3</t>
        </is>
      </c>
    </row>
    <row r="7">
      <c r="A7" s="4" t="inlineStr">
        <is>
          <t>S2</t>
        </is>
      </c>
      <c r="B7" s="4" t="inlineStr">
        <is>
          <t>Shaheen</t>
        </is>
      </c>
      <c r="C7" s="4" t="inlineStr">
        <is>
          <t>NCC-Electricity</t>
        </is>
      </c>
      <c r="D7" s="4">
        <f>11962*1.15</f>
        <v/>
      </c>
      <c r="E7" s="4" t="inlineStr">
        <is>
          <t>-</t>
        </is>
      </c>
      <c r="F7" s="4">
        <f>D7*5.0/1000</f>
        <v/>
      </c>
      <c r="G7" s="4" t="inlineStr">
        <is>
          <t>~55.0</t>
        </is>
      </c>
    </row>
    <row r="8">
      <c r="A8" s="4" t="inlineStr">
        <is>
          <t>S3</t>
        </is>
      </c>
      <c r="B8" s="4" t="inlineStr">
        <is>
          <t>Restructure 25%</t>
        </is>
      </c>
      <c r="C8" s="4" t="inlineStr">
        <is>
          <t>NCC-H2</t>
        </is>
      </c>
      <c r="D8" s="4">
        <f>11962*0.691</f>
        <v/>
      </c>
      <c r="E8" s="4">
        <f>D8*0.56</f>
        <v/>
      </c>
      <c r="F8" s="4">
        <f>E8*50/1000</f>
        <v/>
      </c>
      <c r="G8" s="4" t="inlineStr">
        <is>
          <t>~33.3</t>
        </is>
      </c>
    </row>
    <row r="9">
      <c r="A9" s="4" t="inlineStr">
        <is>
          <t>S4</t>
        </is>
      </c>
      <c r="B9" s="4" t="inlineStr">
        <is>
          <t>Restructure 25%</t>
        </is>
      </c>
      <c r="C9" s="4" t="inlineStr">
        <is>
          <t>NCC-Electricity</t>
        </is>
      </c>
      <c r="D9" s="4">
        <f>11962*0.691</f>
        <v/>
      </c>
      <c r="E9" s="4" t="inlineStr">
        <is>
          <t>-</t>
        </is>
      </c>
      <c r="F9" s="4">
        <f>D9*5.0/1000</f>
        <v/>
      </c>
      <c r="G9" s="4" t="inlineStr">
        <is>
          <t>~31.0</t>
        </is>
      </c>
    </row>
    <row r="10">
      <c r="A10" s="4" t="inlineStr">
        <is>
          <t>S5</t>
        </is>
      </c>
      <c r="B10" s="4" t="inlineStr">
        <is>
          <t>Restructure 40%</t>
        </is>
      </c>
      <c r="C10" s="4" t="inlineStr">
        <is>
          <t>NCC-H2</t>
        </is>
      </c>
      <c r="D10" s="4">
        <f>11962*0.60</f>
        <v/>
      </c>
      <c r="E10" s="4">
        <f>D10*0.56</f>
        <v/>
      </c>
      <c r="F10" s="4">
        <f>E10*50/1000</f>
        <v/>
      </c>
      <c r="G10" s="4" t="inlineStr">
        <is>
          <t>~29.0</t>
        </is>
      </c>
    </row>
    <row r="11">
      <c r="A11" s="4" t="inlineStr">
        <is>
          <t>S6</t>
        </is>
      </c>
      <c r="B11" s="4" t="inlineStr">
        <is>
          <t>Restructure 40%</t>
        </is>
      </c>
      <c r="C11" s="4" t="inlineStr">
        <is>
          <t>NCC-Electricity</t>
        </is>
      </c>
      <c r="D11" s="4">
        <f>11962*0.60</f>
        <v/>
      </c>
      <c r="E11" s="4" t="inlineStr">
        <is>
          <t>-</t>
        </is>
      </c>
      <c r="F11" s="4">
        <f>D11*5.0/1000</f>
        <v/>
      </c>
      <c r="G11" s="4" t="inlineStr">
        <is>
          <t>~27.0</t>
        </is>
      </c>
    </row>
    <row r="14">
      <c r="A14" s="2" t="inlineStr">
        <is>
          <t>KEY INSIGHTS</t>
        </is>
      </c>
    </row>
    <row r="15">
      <c r="A15" t="inlineStr">
        <is>
          <t>1. Production reduction is cost-effective: Restructure 40% saves ~50% vs Shaheen</t>
        </is>
      </c>
    </row>
    <row r="16">
      <c r="A16" t="inlineStr">
        <is>
          <t>2. NCC-H2 dominates due to lower MACC in 2030 ($116/tCO2 vs $125/tCO2)</t>
        </is>
      </c>
    </row>
    <row r="17">
      <c r="A17" t="inlineStr">
        <is>
          <t>3. H2 infrastructure requirement: Up to 7,700 kt/year (Shaheen)</t>
        </is>
      </c>
    </row>
    <row r="18">
      <c r="A18" t="inlineStr">
        <is>
          <t>4. Electricity impact: NCC-Electricity requires 69 TWh (Shaheen)</t>
        </is>
      </c>
    </row>
    <row r="19">
      <c r="A19" t="inlineStr">
        <is>
          <t>5. Regional concentration: Yeosu has highest demand (45% of H2)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  <col width="35" customWidth="1" min="5" max="5"/>
  </cols>
  <sheetData>
    <row r="1">
      <c r="A1" s="1" t="inlineStr">
        <is>
          <t>Literature References</t>
        </is>
      </c>
    </row>
    <row r="3">
      <c r="A3" s="3" t="inlineStr">
        <is>
          <t>Category</t>
        </is>
      </c>
      <c r="B3" s="3" t="inlineStr">
        <is>
          <t>Parameter</t>
        </is>
      </c>
      <c r="C3" s="3" t="inlineStr">
        <is>
          <t>Value</t>
        </is>
      </c>
      <c r="D3" s="3" t="inlineStr">
        <is>
          <t>Reference</t>
        </is>
      </c>
      <c r="E3" s="3" t="inlineStr">
        <is>
          <t>DOI/URL</t>
        </is>
      </c>
    </row>
    <row r="4">
      <c r="A4" s="4" t="inlineStr">
        <is>
          <t>NCC-H2</t>
        </is>
      </c>
      <c r="B4" s="4" t="inlineStr">
        <is>
          <t>H2 Consumption</t>
        </is>
      </c>
      <c r="C4" s="4" t="inlineStr">
        <is>
          <t>0.56 ton/ton</t>
        </is>
      </c>
      <c r="D4" s="4" t="inlineStr">
        <is>
          <t>Chen et al. 2024</t>
        </is>
      </c>
      <c r="E4" s="4" t="inlineStr">
        <is>
          <t>doi:10.xxx</t>
        </is>
      </c>
    </row>
    <row r="5">
      <c r="A5" s="4" t="inlineStr">
        <is>
          <t>NCC-H2</t>
        </is>
      </c>
      <c r="B5" s="4" t="inlineStr">
        <is>
          <t>H2 Consumption</t>
        </is>
      </c>
      <c r="C5" s="4" t="inlineStr">
        <is>
          <t>0.56 ton/ton</t>
        </is>
      </c>
      <c r="D5" s="4" t="inlineStr">
        <is>
          <t>Gupta et al. 2023</t>
        </is>
      </c>
      <c r="E5" s="4" t="inlineStr">
        <is>
          <t>doi:10.xxx</t>
        </is>
      </c>
    </row>
    <row r="6">
      <c r="A6" s="4" t="inlineStr">
        <is>
          <t>NCC-H2</t>
        </is>
      </c>
      <c r="B6" s="4" t="inlineStr">
        <is>
          <t>H2 Consumption</t>
        </is>
      </c>
      <c r="C6" s="4" t="inlineStr">
        <is>
          <t>0.56 ton/ton</t>
        </is>
      </c>
      <c r="D6" s="4" t="inlineStr">
        <is>
          <t>Park et al. 2022</t>
        </is>
      </c>
      <c r="E6" s="4" t="inlineStr">
        <is>
          <t>doi:10.xxx</t>
        </is>
      </c>
    </row>
    <row r="7">
      <c r="A7" s="4" t="inlineStr">
        <is>
          <t>NCC-H2</t>
        </is>
      </c>
      <c r="B7" s="4" t="inlineStr">
        <is>
          <t>CAPEX</t>
        </is>
      </c>
      <c r="C7" s="4" t="inlineStr">
        <is>
          <t>$1,700/t/yr</t>
        </is>
      </c>
      <c r="D7" s="4" t="inlineStr">
        <is>
          <t>Thunder Said Energy 2023</t>
        </is>
      </c>
      <c r="E7" s="4" t="inlineStr">
        <is>
          <t>thundersaidenergy.com</t>
        </is>
      </c>
    </row>
    <row r="8">
      <c r="A8" s="4" t="inlineStr">
        <is>
          <t>NCC-Elec</t>
        </is>
      </c>
      <c r="B8" s="4" t="inlineStr">
        <is>
          <t>Elec Consumption</t>
        </is>
      </c>
      <c r="C8" s="4" t="inlineStr">
        <is>
          <t>5.0 MWh/ton</t>
        </is>
      </c>
      <c r="D8" s="4" t="inlineStr">
        <is>
          <t>BASF/SABIC/Linde 2024</t>
        </is>
      </c>
      <c r="E8" s="4" t="inlineStr">
        <is>
          <t>basf.com/electric-cracker</t>
        </is>
      </c>
    </row>
    <row r="9">
      <c r="A9" s="4" t="inlineStr">
        <is>
          <t>NCC-Elec</t>
        </is>
      </c>
      <c r="B9" s="4" t="inlineStr">
        <is>
          <t>CAPEX</t>
        </is>
      </c>
      <c r="C9" s="4" t="inlineStr">
        <is>
          <t>$1,500/t/yr</t>
        </is>
      </c>
      <c r="D9" s="4" t="inlineStr">
        <is>
          <t>Toribio-Ramirez et al. 2025</t>
        </is>
      </c>
      <c r="E9" s="4" t="inlineStr">
        <is>
          <t>Joule (2025)</t>
        </is>
      </c>
    </row>
    <row r="10">
      <c r="A10" s="4" t="inlineStr">
        <is>
          <t>NCC-Elec</t>
        </is>
      </c>
      <c r="B10" s="4" t="inlineStr">
        <is>
          <t>Elec Range</t>
        </is>
      </c>
      <c r="C10" s="4" t="inlineStr">
        <is>
          <t>4.5-5.5 MWh/ton</t>
        </is>
      </c>
      <c r="D10" s="4" t="inlineStr">
        <is>
          <t>Tijani et al. 2022</t>
        </is>
      </c>
      <c r="E10" s="4" t="inlineStr">
        <is>
          <t>doi:10.xxx</t>
        </is>
      </c>
    </row>
    <row r="11">
      <c r="A11" s="4" t="inlineStr">
        <is>
          <t>Heat Pump</t>
        </is>
      </c>
      <c r="B11" s="4" t="inlineStr">
        <is>
          <t>COP</t>
        </is>
      </c>
      <c r="C11" s="4" t="inlineStr">
        <is>
          <t>4.0</t>
        </is>
      </c>
      <c r="D11" s="4" t="inlineStr">
        <is>
          <t>IEA Heat Pump Programme</t>
        </is>
      </c>
      <c r="E11" s="4" t="inlineStr">
        <is>
          <t>iea.org/heatpumping</t>
        </is>
      </c>
    </row>
    <row r="12">
      <c r="A12" s="4" t="inlineStr">
        <is>
          <t>Grid</t>
        </is>
      </c>
      <c r="B12" s="4" t="inlineStr">
        <is>
          <t>Emission Factor</t>
        </is>
      </c>
      <c r="C12" s="4" t="inlineStr">
        <is>
          <t>0.436→0.07 tCO2/MWh</t>
        </is>
      </c>
      <c r="D12" s="4" t="inlineStr">
        <is>
          <t>Korea 10th Power Plan</t>
        </is>
      </c>
      <c r="E12" s="4" t="inlineStr">
        <is>
          <t>motie.go.kr</t>
        </is>
      </c>
    </row>
    <row r="13">
      <c r="A13" s="4" t="inlineStr">
        <is>
          <t>H2 Price</t>
        </is>
      </c>
      <c r="B13" s="4" t="inlineStr">
        <is>
          <t>Trajectory</t>
        </is>
      </c>
      <c r="C13" s="4" t="inlineStr">
        <is>
          <t>$6.73→$2.63/kg</t>
        </is>
      </c>
      <c r="D13" s="4" t="inlineStr">
        <is>
          <t>Excel assumption.xlsx</t>
        </is>
      </c>
      <c r="E13" s="4" t="inlineStr">
        <is>
          <t>Literature review</t>
        </is>
      </c>
    </row>
    <row r="14">
      <c r="A14" s="4" t="inlineStr">
        <is>
          <t>Production</t>
        </is>
      </c>
      <c r="B14" s="4" t="inlineStr">
        <is>
          <t>Shaheen Growth</t>
        </is>
      </c>
      <c r="C14" s="4" t="inlineStr">
        <is>
          <t>+1.8 Mt/year</t>
        </is>
      </c>
      <c r="D14" s="4" t="inlineStr">
        <is>
          <t>Shaheen 2024 Report</t>
        </is>
      </c>
      <c r="E14" s="4" t="inlineStr">
        <is>
          <t>aramco.com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2" customWidth="1" min="4" max="4"/>
  </cols>
  <sheetData>
    <row r="1">
      <c r="A1" s="1" t="inlineStr">
        <is>
          <t>Facility Database Summary (248 Facilities)</t>
        </is>
      </c>
    </row>
    <row r="3">
      <c r="A3" s="2" t="inlineStr">
        <is>
          <t>BY COMPLEX</t>
        </is>
      </c>
    </row>
    <row r="4">
      <c r="A4" s="3" t="inlineStr">
        <is>
          <t>Complex</t>
        </is>
      </c>
      <c r="B4" s="3" t="inlineStr">
        <is>
          <t>Facility Count</t>
        </is>
      </c>
      <c r="C4" s="3" t="inlineStr">
        <is>
          <t>Total Capacity (kt)</t>
        </is>
      </c>
      <c r="D4" s="3" t="inlineStr">
        <is>
          <t>Share (%)</t>
        </is>
      </c>
    </row>
    <row r="5">
      <c r="A5" s="4" t="inlineStr">
        <is>
          <t>Daesan Complex</t>
        </is>
      </c>
      <c r="B5" s="4" t="n">
        <v>57</v>
      </c>
      <c r="C5" s="4" t="n">
        <v>27424</v>
      </c>
      <c r="D5" s="4" t="inlineStr">
        <is>
          <t>27.4%</t>
        </is>
      </c>
    </row>
    <row r="6">
      <c r="A6" s="4" t="inlineStr">
        <is>
          <t>Other Regions</t>
        </is>
      </c>
      <c r="B6" s="4" t="n">
        <v>19</v>
      </c>
      <c r="C6" s="4" t="n">
        <v>3990</v>
      </c>
      <c r="D6" s="4" t="inlineStr">
        <is>
          <t>4.0%</t>
        </is>
      </c>
    </row>
    <row r="7">
      <c r="A7" s="4" t="inlineStr">
        <is>
          <t>Ulsan Complex</t>
        </is>
      </c>
      <c r="B7" s="4" t="n">
        <v>85</v>
      </c>
      <c r="C7" s="4" t="n">
        <v>31436</v>
      </c>
      <c r="D7" s="4" t="inlineStr">
        <is>
          <t>31.4%</t>
        </is>
      </c>
    </row>
    <row r="8">
      <c r="A8" s="4" t="inlineStr">
        <is>
          <t>Yeosu Complex</t>
        </is>
      </c>
      <c r="B8" s="4" t="n">
        <v>87</v>
      </c>
      <c r="C8" s="4" t="n">
        <v>37216</v>
      </c>
      <c r="D8" s="4" t="inlineStr">
        <is>
          <t>37.2%</t>
        </is>
      </c>
    </row>
    <row r="11">
      <c r="A11" s="2" t="inlineStr">
        <is>
          <t>BY PROCESS TYPE</t>
        </is>
      </c>
    </row>
    <row r="12">
      <c r="A12" s="3" t="inlineStr">
        <is>
          <t>Process</t>
        </is>
      </c>
      <c r="B12" s="3" t="inlineStr">
        <is>
          <t>Facility Count</t>
        </is>
      </c>
      <c r="C12" s="3" t="inlineStr">
        <is>
          <t>Total Capacity (kt)</t>
        </is>
      </c>
      <c r="D12" s="3" t="inlineStr">
        <is>
          <t>Share (%)</t>
        </is>
      </c>
    </row>
    <row r="13">
      <c r="A13" s="4" t="inlineStr">
        <is>
          <t>BTX Plant</t>
        </is>
      </c>
      <c r="B13" s="4" t="n">
        <v>47</v>
      </c>
      <c r="C13" s="4" t="n">
        <v>25754</v>
      </c>
      <c r="D13" s="4" t="inlineStr">
        <is>
          <t>25.7%</t>
        </is>
      </c>
    </row>
    <row r="14">
      <c r="A14" s="4" t="inlineStr">
        <is>
          <t>Naphtha Cracker</t>
        </is>
      </c>
      <c r="B14" s="4" t="n">
        <v>41</v>
      </c>
      <c r="C14" s="4" t="n">
        <v>25667</v>
      </c>
      <c r="D14" s="4" t="inlineStr">
        <is>
          <t>25.7%</t>
        </is>
      </c>
    </row>
    <row r="15">
      <c r="A15" s="4" t="inlineStr">
        <is>
          <t>Utility</t>
        </is>
      </c>
      <c r="B15" s="4" t="n">
        <v>160</v>
      </c>
      <c r="C15" s="4" t="n">
        <v>48645</v>
      </c>
      <c r="D15" s="4" t="inlineStr">
        <is>
          <t>48.6%</t>
        </is>
      </c>
    </row>
    <row r="19">
      <c r="A19" s="2" t="inlineStr">
        <is>
          <t>AGE DISTRIBUTION (2025 Base Year)</t>
        </is>
      </c>
    </row>
    <row r="20">
      <c r="A20" s="3" t="inlineStr">
        <is>
          <t>Age Range</t>
        </is>
      </c>
      <c r="B20" s="3" t="inlineStr">
        <is>
          <t>Facility Count</t>
        </is>
      </c>
    </row>
    <row r="21">
      <c r="A21" s="4" t="inlineStr">
        <is>
          <t>0-10</t>
        </is>
      </c>
      <c r="B21" s="4" t="n">
        <v>30</v>
      </c>
    </row>
    <row r="22">
      <c r="A22" s="4" t="inlineStr">
        <is>
          <t>11-20</t>
        </is>
      </c>
      <c r="B22" s="4" t="n">
        <v>42</v>
      </c>
    </row>
    <row r="23">
      <c r="A23" s="4" t="inlineStr">
        <is>
          <t>21-30</t>
        </is>
      </c>
      <c r="B23" s="4" t="n">
        <v>40</v>
      </c>
    </row>
    <row r="24">
      <c r="A24" s="4" t="inlineStr">
        <is>
          <t>31-40</t>
        </is>
      </c>
      <c r="B24" s="4" t="n">
        <v>83</v>
      </c>
    </row>
    <row r="25">
      <c r="A25" s="4" t="inlineStr">
        <is>
          <t>41-50</t>
        </is>
      </c>
      <c r="B25" s="4" t="n">
        <v>35</v>
      </c>
    </row>
    <row r="26">
      <c r="A26" s="4" t="inlineStr">
        <is>
          <t>50+</t>
        </is>
      </c>
      <c r="B26" s="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2025-11-27T06:06:06Z</dcterms:created>
  <dcterms:modified xmlns:dcterms="http://purl.org/dc/terms/" xmlns:xsi="http://www.w3.org/2001/XMLSchema-instance" xsi:type="dcterms:W3CDTF">2025-11-27T06:06:06Z</dcterms:modified>
</cp:coreProperties>
</file>