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Consumption Summary" sheetId="1" state="visible" r:id="rId1"/>
    <sheet xmlns:r="http://schemas.openxmlformats.org/officeDocument/2006/relationships" name="NCC-H2" sheetId="2" state="visible" r:id="rId2"/>
    <sheet xmlns:r="http://schemas.openxmlformats.org/officeDocument/2006/relationships" name="NCC-Electricity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Summary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  <col width="20" customWidth="1" min="5" max="5"/>
    <col width="18" customWidth="1" min="6" max="6"/>
    <col width="35" customWidth="1" min="7" max="7"/>
  </cols>
  <sheetData>
    <row r="1">
      <c r="A1" s="8" t="inlineStr">
        <is>
          <t>Energy Consumption Summary by Scenario and Technology Pathway</t>
        </is>
      </c>
    </row>
    <row r="3">
      <c r="A3" s="9" t="inlineStr">
        <is>
          <t>1. INPUT PARAMETERS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t="inlineStr">
        <is>
          <t>Ethylene Production (2025)</t>
        </is>
      </c>
      <c r="B5" t="n">
        <v>11962</v>
      </c>
      <c r="C5" t="inlineStr">
        <is>
          <t>kt/year</t>
        </is>
      </c>
      <c r="D5" t="inlineStr">
        <is>
          <t>Facility Database</t>
        </is>
      </c>
    </row>
    <row r="6">
      <c r="A6" t="inlineStr">
        <is>
          <t>Total NCC Capacity (2025)</t>
        </is>
      </c>
      <c r="B6" t="n">
        <v>25667</v>
      </c>
      <c r="C6" t="inlineStr">
        <is>
          <t>kt/year</t>
        </is>
      </c>
      <c r="D6" t="inlineStr">
        <is>
          <t>Facility Database</t>
        </is>
      </c>
    </row>
    <row r="7">
      <c r="A7" t="inlineStr">
        <is>
          <t>H2 Consumption Intensity</t>
        </is>
      </c>
      <c r="B7" t="n">
        <v>0.5600000000000001</v>
      </c>
      <c r="C7" t="inlineStr">
        <is>
          <t>ton-H2/ton-C2H4</t>
        </is>
      </c>
      <c r="D7" t="inlineStr">
        <is>
          <t>Chen 2024, Gupta 2023, Park 2022</t>
        </is>
      </c>
    </row>
    <row r="8">
      <c r="A8" t="inlineStr">
        <is>
          <t>Electricity Intensity</t>
        </is>
      </c>
      <c r="B8" t="n">
        <v>5</v>
      </c>
      <c r="C8" t="inlineStr">
        <is>
          <t>MWh/ton-C2H4</t>
        </is>
      </c>
      <c r="D8" t="inlineStr">
        <is>
          <t>BASF/SABIC/Linde Pilot 2024</t>
        </is>
      </c>
    </row>
    <row r="9">
      <c r="A9" t="inlineStr">
        <is>
          <t>Baseline Emission Factor</t>
        </is>
      </c>
      <c r="B9" t="n">
        <v>1.74</v>
      </c>
      <c r="C9" t="inlineStr">
        <is>
          <t>tCO2/ton-C2H4</t>
        </is>
      </c>
      <c r="D9" t="inlineStr">
        <is>
          <t>Model Baseline Calculation</t>
        </is>
      </c>
    </row>
    <row r="10">
      <c r="A10" t="inlineStr">
        <is>
          <t>H2 Production Efficiency</t>
        </is>
      </c>
      <c r="B10" t="n">
        <v>50</v>
      </c>
      <c r="C10" t="inlineStr">
        <is>
          <t>kWh/kg-H2</t>
        </is>
      </c>
      <c r="D10" t="inlineStr">
        <is>
          <t>Electrolyzer assumption</t>
        </is>
      </c>
    </row>
    <row r="12">
      <c r="A12" s="10" t="inlineStr">
        <is>
          <t>2. NCC-H2 PATHWAY - HYDROGEN CONSUMPTION</t>
        </is>
      </c>
    </row>
    <row r="13">
      <c r="A13" s="5" t="inlineStr">
        <is>
          <t>Scenario</t>
        </is>
      </c>
      <c r="B13" s="5" t="inlineStr">
        <is>
          <t>Multiplier</t>
        </is>
      </c>
      <c r="C13" s="5" t="inlineStr">
        <is>
          <t>Ethylene (kt)</t>
        </is>
      </c>
      <c r="D13" s="5" t="inlineStr">
        <is>
          <t>H2 Demand (kt)</t>
        </is>
      </c>
      <c r="E13" s="5" t="inlineStr">
        <is>
          <t>H2 Demand (Mt)</t>
        </is>
      </c>
      <c r="F13" s="5" t="inlineStr">
        <is>
          <t>Elec for H2 (TWh)</t>
        </is>
      </c>
      <c r="G13" s="5" t="inlineStr">
        <is>
          <t>Formula</t>
        </is>
      </c>
    </row>
    <row r="14">
      <c r="A14" s="6" t="inlineStr">
        <is>
          <t>Shaheen (성장)</t>
        </is>
      </c>
      <c r="B14" s="6" t="n">
        <v>1.15</v>
      </c>
      <c r="C14" s="6" t="n">
        <v>13756</v>
      </c>
      <c r="D14" s="6" t="n">
        <v>7703.5</v>
      </c>
      <c r="E14" s="6" t="n">
        <v>7.7</v>
      </c>
      <c r="F14" s="6" t="n">
        <v>385.2</v>
      </c>
      <c r="G14" s="6">
        <f>11962×1.15×0.56</f>
        <v/>
      </c>
    </row>
    <row r="15">
      <c r="A15" s="6" t="inlineStr">
        <is>
          <t>구조조정 25%</t>
        </is>
      </c>
      <c r="B15" s="6" t="n">
        <v>0.6909999999999999</v>
      </c>
      <c r="C15" s="6" t="n">
        <v>8266</v>
      </c>
      <c r="D15" s="6" t="n">
        <v>4628.8</v>
      </c>
      <c r="E15" s="6" t="n">
        <v>4.63</v>
      </c>
      <c r="F15" s="6" t="n">
        <v>231.4</v>
      </c>
      <c r="G15" s="6">
        <f>11962×0.691×0.56</f>
        <v/>
      </c>
    </row>
    <row r="16">
      <c r="A16" s="6" t="inlineStr">
        <is>
          <t>구조조정 40%</t>
        </is>
      </c>
      <c r="B16" s="6" t="n">
        <v>0.6</v>
      </c>
      <c r="C16" s="6" t="n">
        <v>7177</v>
      </c>
      <c r="D16" s="6" t="n">
        <v>4019.2</v>
      </c>
      <c r="E16" s="6" t="n">
        <v>4.02</v>
      </c>
      <c r="F16" s="6" t="n">
        <v>201</v>
      </c>
      <c r="G16" s="6">
        <f>11962×0.6×0.56</f>
        <v/>
      </c>
    </row>
    <row r="18">
      <c r="A18" s="7" t="inlineStr">
        <is>
          <t>Calculation: H2 (kt) = Ethylene (kt) × 0.56 (ton-H2/ton-C2H4)</t>
        </is>
      </c>
    </row>
    <row r="19">
      <c r="A19" s="7" t="inlineStr">
        <is>
          <t>Electricity for H2 = H2 (kt) × 1000 (kg/t) × 50 (kWh/kg) / 1,000,000 = TWh</t>
        </is>
      </c>
    </row>
    <row r="21">
      <c r="A21" s="11" t="inlineStr">
        <is>
          <t>3. NCC-ELECTRICITY PATHWAY - ELECTRICITY CONSUMPTION</t>
        </is>
      </c>
    </row>
    <row r="22">
      <c r="A22" s="12" t="inlineStr">
        <is>
          <t>Scenario</t>
        </is>
      </c>
      <c r="B22" s="12" t="inlineStr">
        <is>
          <t>Multiplier</t>
        </is>
      </c>
      <c r="C22" s="12" t="inlineStr">
        <is>
          <t>Ethylene (kt)</t>
        </is>
      </c>
      <c r="D22" s="12" t="inlineStr">
        <is>
          <t>Elec Direct (TWh)</t>
        </is>
      </c>
      <c r="E22" s="12" t="inlineStr">
        <is>
          <t>Model Result (TWh)</t>
        </is>
      </c>
      <c r="F22" s="12" t="inlineStr">
        <is>
          <t>% Korea Grid</t>
        </is>
      </c>
      <c r="G22" s="12" t="inlineStr">
        <is>
          <t>Formula</t>
        </is>
      </c>
    </row>
    <row r="23">
      <c r="A23" s="6" t="inlineStr">
        <is>
          <t>Shaheen (성장)</t>
        </is>
      </c>
      <c r="B23" s="6" t="n">
        <v>1.15</v>
      </c>
      <c r="C23" s="6" t="n">
        <v>13756</v>
      </c>
      <c r="D23" s="6" t="n">
        <v>68.8</v>
      </c>
      <c r="E23" s="6" t="n">
        <v>165</v>
      </c>
      <c r="F23" s="6" t="inlineStr">
        <is>
          <t>27.5%</t>
        </is>
      </c>
      <c r="G23" s="6">
        <f>11962×1.15×5.0/1000</f>
        <v/>
      </c>
    </row>
    <row r="24">
      <c r="A24" s="6" t="inlineStr">
        <is>
          <t>구조조정 25%</t>
        </is>
      </c>
      <c r="B24" s="6" t="n">
        <v>0.6909999999999999</v>
      </c>
      <c r="C24" s="6" t="n">
        <v>8266</v>
      </c>
      <c r="D24" s="6" t="n">
        <v>41.3</v>
      </c>
      <c r="E24" s="6" t="n">
        <v>86</v>
      </c>
      <c r="F24" s="6" t="inlineStr">
        <is>
          <t>14.3%</t>
        </is>
      </c>
      <c r="G24" s="6">
        <f>11962×0.691×5.0/1000</f>
        <v/>
      </c>
    </row>
    <row r="25">
      <c r="A25" s="6" t="inlineStr">
        <is>
          <t>구조조정 40%</t>
        </is>
      </c>
      <c r="B25" s="6" t="n">
        <v>0.6</v>
      </c>
      <c r="C25" s="6" t="n">
        <v>7177</v>
      </c>
      <c r="D25" s="6" t="n">
        <v>35.9</v>
      </c>
      <c r="E25" s="6" t="n">
        <v>86</v>
      </c>
      <c r="F25" s="6" t="inlineStr">
        <is>
          <t>14.3%</t>
        </is>
      </c>
      <c r="G25" s="6">
        <f>11962×0.6×5.0/1000</f>
        <v/>
      </c>
    </row>
    <row r="27">
      <c r="A27" s="7" t="inlineStr">
        <is>
          <t>Calculation: Electricity (TWh) = Ethylene (kt) × 5.0 (MWh/ton) / 1000</t>
        </is>
      </c>
    </row>
    <row r="28">
      <c r="A28" s="7" t="inlineStr">
        <is>
          <t>Note: Model uses 5,300 MWh/tCO2 which gives higher results than direct calculation</t>
        </is>
      </c>
    </row>
    <row r="30">
      <c r="A30" s="9" t="inlineStr">
        <is>
          <t>4. SUMMARY COMPARISON (Shaheen Scenario - Maximum Demand)</t>
        </is>
      </c>
    </row>
    <row r="31">
      <c r="A31" s="2" t="inlineStr">
        <is>
          <t>Pathway</t>
        </is>
      </c>
      <c r="B31" s="2" t="inlineStr">
        <is>
          <t>Primary Energy</t>
        </is>
      </c>
      <c r="C31" s="2" t="inlineStr">
        <is>
          <t>Amount</t>
        </is>
      </c>
      <c r="D31" s="2" t="inlineStr">
        <is>
          <t>Unit</t>
        </is>
      </c>
      <c r="E31" s="2" t="inlineStr">
        <is>
          <t>Secondary (Electricity)</t>
        </is>
      </c>
      <c r="F31" s="2" t="inlineStr">
        <is>
          <t>Unit</t>
        </is>
      </c>
    </row>
    <row r="32">
      <c r="A32" t="inlineStr">
        <is>
          <t>NCC-H2</t>
        </is>
      </c>
      <c r="B32" t="inlineStr">
        <is>
          <t>Hydrogen</t>
        </is>
      </c>
      <c r="C32" t="inlineStr">
        <is>
          <t>7,703.5</t>
        </is>
      </c>
      <c r="D32" t="inlineStr">
        <is>
          <t>kt/year</t>
        </is>
      </c>
      <c r="E32" t="inlineStr">
        <is>
          <t>385.2</t>
        </is>
      </c>
      <c r="F32" t="inlineStr">
        <is>
          <t>TWh/year (for H2 production)</t>
        </is>
      </c>
    </row>
    <row r="33">
      <c r="A33" t="inlineStr">
        <is>
          <t>NCC-Electricity</t>
        </is>
      </c>
      <c r="B33" t="inlineStr">
        <is>
          <t>Electricity</t>
        </is>
      </c>
      <c r="C33" t="inlineStr">
        <is>
          <t>165</t>
        </is>
      </c>
      <c r="D33" t="inlineStr">
        <is>
          <t>TWh/year</t>
        </is>
      </c>
      <c r="E33" t="inlineStr">
        <is>
          <t>-</t>
        </is>
      </c>
      <c r="F33" t="inlineStr">
        <is>
          <t>(direct use)</t>
        </is>
      </c>
    </row>
    <row r="35">
      <c r="A35" s="9" t="inlineStr">
        <is>
          <t>5. REGIONAL BREAKDOWN (Shaheen Scenario)</t>
        </is>
      </c>
    </row>
    <row r="36">
      <c r="A36" s="2" t="inlineStr">
        <is>
          <t>Complex</t>
        </is>
      </c>
      <c r="B36" s="2" t="inlineStr">
        <is>
          <t>Ethylene (kt)</t>
        </is>
      </c>
      <c r="C36" s="2" t="inlineStr">
        <is>
          <t>H2 Demand (kt)</t>
        </is>
      </c>
      <c r="D36" s="2" t="inlineStr">
        <is>
          <t>Elec Demand (TWh)</t>
        </is>
      </c>
      <c r="E36" s="2" t="inlineStr">
        <is>
          <t>% of Total</t>
        </is>
      </c>
    </row>
    <row r="37">
      <c r="A37" t="inlineStr">
        <is>
          <t>Ulsan Complex</t>
        </is>
      </c>
      <c r="B37" t="n">
        <v>2003</v>
      </c>
      <c r="C37" t="n">
        <v>1121.8</v>
      </c>
      <c r="D37" t="n">
        <v>10</v>
      </c>
      <c r="E37" t="inlineStr">
        <is>
          <t>14.6%</t>
        </is>
      </c>
    </row>
    <row r="38">
      <c r="A38" t="inlineStr">
        <is>
          <t>Yeosu Complex</t>
        </is>
      </c>
      <c r="B38" t="n">
        <v>6262</v>
      </c>
      <c r="C38" t="n">
        <v>3506.6</v>
      </c>
      <c r="D38" t="n">
        <v>31.3</v>
      </c>
      <c r="E38" t="inlineStr">
        <is>
          <t>45.5%</t>
        </is>
      </c>
    </row>
    <row r="39">
      <c r="A39" t="inlineStr">
        <is>
          <t>Daesan Complex</t>
        </is>
      </c>
      <c r="B39" t="n">
        <v>5491</v>
      </c>
      <c r="C39" t="n">
        <v>3075.1</v>
      </c>
      <c r="D39" t="n">
        <v>27.5</v>
      </c>
      <c r="E39" t="inlineStr">
        <is>
          <t>39.9%</t>
        </is>
      </c>
    </row>
    <row r="40">
      <c r="A40" s="2" t="inlineStr">
        <is>
          <t>TOTAL</t>
        </is>
      </c>
      <c r="B40" t="n">
        <v>13756</v>
      </c>
      <c r="C40" t="n">
        <v>7703.5</v>
      </c>
      <c r="D40" t="n">
        <v>68.8</v>
      </c>
      <c r="E40" t="inlineStr">
        <is>
          <t>100%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80" customWidth="1" min="4" max="4"/>
  </cols>
  <sheetData>
    <row r="1">
      <c r="A1" s="1" t="inlineStr">
        <is>
          <t>NCC-H2 Energy Calculation (Shaheen Scenario)</t>
        </is>
      </c>
    </row>
    <row r="3">
      <c r="A3" s="2" t="inlineStr">
        <is>
          <t>INPUT PARAMETERS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Reference</t>
        </is>
      </c>
    </row>
    <row r="5">
      <c r="A5" t="inlineStr">
        <is>
          <t>Ethylene Production (2025)</t>
        </is>
      </c>
      <c r="B5" s="4" t="n">
        <v>11962</v>
      </c>
      <c r="C5" t="inlineStr">
        <is>
          <t>kt/year</t>
        </is>
      </c>
      <c r="D5" t="inlineStr">
        <is>
          <t>Facility Database (11 NCC)</t>
        </is>
      </c>
    </row>
    <row r="6">
      <c r="A6" t="inlineStr">
        <is>
          <t>Shaheen Growth Multiplier</t>
        </is>
      </c>
      <c r="B6" s="4" t="n">
        <v>1.15</v>
      </c>
      <c r="C6" t="inlineStr">
        <is>
          <t>-</t>
        </is>
      </c>
      <c r="D6" t="inlineStr">
        <is>
          <t>demand_growth_trajectory_scenarios.csv</t>
        </is>
      </c>
    </row>
    <row r="7">
      <c r="A7" t="inlineStr">
        <is>
          <t>Ethylene Production (Shaheen 2050)</t>
        </is>
      </c>
      <c r="B7" s="4">
        <f>B5*B6</f>
        <v/>
      </c>
      <c r="C7" t="inlineStr">
        <is>
          <t>kt/year</t>
        </is>
      </c>
      <c r="D7" t="inlineStr">
        <is>
          <t>Calculated</t>
        </is>
      </c>
    </row>
    <row r="8">
      <c r="A8" t="inlineStr">
        <is>
          <t>H2 Consumption Intensity</t>
        </is>
      </c>
      <c r="B8" s="4" t="n">
        <v>0.5600000000000001</v>
      </c>
      <c r="C8" t="inlineStr">
        <is>
          <t>ton-H2/ton-C2H4</t>
        </is>
      </c>
      <c r="D8" t="inlineStr">
        <is>
          <t>Chen 2024, Gupta 2023, Park 2022</t>
        </is>
      </c>
    </row>
    <row r="9">
      <c r="A9" t="inlineStr">
        <is>
          <t>Baseline Emission Factor</t>
        </is>
      </c>
      <c r="B9" s="4" t="n">
        <v>1.74</v>
      </c>
      <c r="C9" t="inlineStr">
        <is>
          <t>tCO2/ton-C2H4</t>
        </is>
      </c>
      <c r="D9" t="inlineStr">
        <is>
          <t>Baseline Module calculation</t>
        </is>
      </c>
    </row>
    <row r="11">
      <c r="A11" s="2" t="inlineStr">
        <is>
          <t>CALCULATIONS (with Excel Formulas)</t>
        </is>
      </c>
    </row>
    <row r="12">
      <c r="A12" s="5" t="inlineStr">
        <is>
          <t>Calculation</t>
        </is>
      </c>
      <c r="B12" s="5" t="inlineStr">
        <is>
          <t>Excel Formula</t>
        </is>
      </c>
      <c r="C12" s="5" t="inlineStr">
        <is>
          <t>Result</t>
        </is>
      </c>
      <c r="D12" s="5" t="inlineStr">
        <is>
          <t>Unit</t>
        </is>
      </c>
    </row>
    <row r="13">
      <c r="A13" t="inlineStr">
        <is>
          <t>H2 Consumption (100% deployment)</t>
        </is>
      </c>
      <c r="B13">
        <f>B7*B8</f>
        <v/>
      </c>
      <c r="C13" s="6">
        <f>B7*B8</f>
        <v/>
      </c>
      <c r="D13" t="inlineStr">
        <is>
          <t>kt-H2/year</t>
        </is>
      </c>
    </row>
    <row r="14">
      <c r="A14" t="inlineStr">
        <is>
          <t>Total Abatement Potential</t>
        </is>
      </c>
      <c r="B14">
        <f>B7*B9/1000</f>
        <v/>
      </c>
      <c r="C14" s="6">
        <f>B7*B9/1000</f>
        <v/>
      </c>
      <c r="D14" t="inlineStr">
        <is>
          <t>MtCO2/year</t>
        </is>
      </c>
    </row>
    <row r="15">
      <c r="A15" t="inlineStr">
        <is>
          <t>H2 per tCO2 abated</t>
        </is>
      </c>
      <c r="B15">
        <f>B8/B9</f>
        <v/>
      </c>
      <c r="C15" s="6">
        <f>B8/B9</f>
        <v/>
      </c>
      <c r="D15" t="inlineStr">
        <is>
          <t>ton-H2/tCO2</t>
        </is>
      </c>
    </row>
    <row r="17">
      <c r="A17" s="2" t="inlineStr">
        <is>
          <t>KEY RESULT</t>
        </is>
      </c>
    </row>
    <row r="18">
      <c r="A18" t="inlineStr">
        <is>
          <t>H2 Demand (Shaheen 2050):</t>
        </is>
      </c>
      <c r="B18">
        <f>C13</f>
        <v/>
      </c>
      <c r="C18" t="inlineStr">
        <is>
          <t>kt/year → 7,703.5 kt ✓</t>
        </is>
      </c>
    </row>
    <row r="20">
      <c r="A20" s="2" t="inlineStr">
        <is>
          <t>MODEL CODE REFERENCE (optimization_v2.py, lines 241-247)</t>
        </is>
      </c>
    </row>
    <row r="21">
      <c r="A21" t="inlineStr">
        <is>
          <t>h2_ton_per_ton_ethylene = macc_ncc_h2['h2_consumption_ton_per_ton_ethylene']  # 0.56</t>
        </is>
      </c>
    </row>
    <row r="22">
      <c r="A22" t="inlineStr">
        <is>
          <t>h2_consumption_kt = deployed['NCC-H2'] * (1e6 / baseline_tco2_per_ton_ethylene) * h2_ton_per_ton_ethylene / 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80" customWidth="1" min="4" max="4"/>
  </cols>
  <sheetData>
    <row r="1">
      <c r="A1" s="1" t="inlineStr">
        <is>
          <t>NCC-Electricity Energy Calculation (Shaheen Scenario)</t>
        </is>
      </c>
    </row>
    <row r="3">
      <c r="A3" s="2" t="inlineStr">
        <is>
          <t>INPUT PARAMETERS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Reference</t>
        </is>
      </c>
    </row>
    <row r="5">
      <c r="A5" t="inlineStr">
        <is>
          <t>Total NCC Capacity (2025)</t>
        </is>
      </c>
      <c r="B5" s="4" t="n">
        <v>25667</v>
      </c>
      <c r="C5" t="inlineStr">
        <is>
          <t>kt/year</t>
        </is>
      </c>
      <c r="D5" t="inlineStr">
        <is>
          <t>All Naphtha Cracker products</t>
        </is>
      </c>
    </row>
    <row r="6">
      <c r="A6" t="inlineStr">
        <is>
          <t>Shaheen Growth Multiplier</t>
        </is>
      </c>
      <c r="B6" s="4" t="n">
        <v>1.15</v>
      </c>
      <c r="C6" t="inlineStr">
        <is>
          <t>-</t>
        </is>
      </c>
      <c r="D6" t="inlineStr">
        <is>
          <t>demand_growth_trajectory_scenarios.csv</t>
        </is>
      </c>
    </row>
    <row r="7">
      <c r="A7" t="inlineStr">
        <is>
          <t>NCC Capacity (Shaheen 2050)</t>
        </is>
      </c>
      <c r="B7" s="4">
        <f>B5*B6</f>
        <v/>
      </c>
      <c r="C7" t="inlineStr">
        <is>
          <t>kt/year</t>
        </is>
      </c>
      <c r="D7" t="inlineStr">
        <is>
          <t>Calculated</t>
        </is>
      </c>
    </row>
    <row r="8">
      <c r="A8" t="inlineStr">
        <is>
          <t>Electricity Intensity</t>
        </is>
      </c>
      <c r="B8" s="4" t="n">
        <v>5</v>
      </c>
      <c r="C8" t="inlineStr">
        <is>
          <t>MWh/ton</t>
        </is>
      </c>
      <c r="D8" t="inlineStr">
        <is>
          <t>BASF/SABIC/Linde eFurnace Pilot 2024</t>
        </is>
      </c>
    </row>
    <row r="9">
      <c r="A9" t="inlineStr">
        <is>
          <t>Baseline Emission Factor</t>
        </is>
      </c>
      <c r="B9" s="4" t="n">
        <v>1.74</v>
      </c>
      <c r="C9" t="inlineStr">
        <is>
          <t>tCO2/ton</t>
        </is>
      </c>
      <c r="D9" t="inlineStr">
        <is>
          <t>Baseline Module calculation</t>
        </is>
      </c>
    </row>
    <row r="11">
      <c r="A11" s="2" t="inlineStr">
        <is>
          <t>CALCULATIONS (with Excel Formulas)</t>
        </is>
      </c>
    </row>
    <row r="12">
      <c r="A12" s="5" t="inlineStr">
        <is>
          <t>Calculation</t>
        </is>
      </c>
      <c r="B12" s="5" t="inlineStr">
        <is>
          <t>Excel Formula</t>
        </is>
      </c>
      <c r="C12" s="5" t="inlineStr">
        <is>
          <t>Result</t>
        </is>
      </c>
      <c r="D12" s="5" t="inlineStr">
        <is>
          <t>Unit</t>
        </is>
      </c>
    </row>
    <row r="13">
      <c r="A13" t="inlineStr">
        <is>
          <t>Electricity Consumption (100%)</t>
        </is>
      </c>
      <c r="B13">
        <f>B7*B8/1000</f>
        <v/>
      </c>
      <c r="C13" s="6">
        <f>B7*B8/1000</f>
        <v/>
      </c>
      <c r="D13" t="inlineStr">
        <is>
          <t>TWh/year</t>
        </is>
      </c>
    </row>
    <row r="14">
      <c r="A14" t="inlineStr">
        <is>
          <t>Total Abatement Potential</t>
        </is>
      </c>
      <c r="B14">
        <f>B7*B9/1000</f>
        <v/>
      </c>
      <c r="C14" s="6">
        <f>B7*B9/1000</f>
        <v/>
      </c>
      <c r="D14" t="inlineStr">
        <is>
          <t>MtCO2/year</t>
        </is>
      </c>
    </row>
    <row r="15">
      <c r="A15" t="inlineStr">
        <is>
          <t>Electricity per tCO2</t>
        </is>
      </c>
      <c r="B15">
        <f>B8/B9*1000</f>
        <v/>
      </c>
      <c r="C15" s="6">
        <f>B8/B9*1000</f>
        <v/>
      </c>
      <c r="D15" t="inlineStr">
        <is>
          <t>MWh/tCO2</t>
        </is>
      </c>
    </row>
    <row r="17">
      <c r="A17" s="2" t="inlineStr">
        <is>
          <t>KEY RESULT</t>
        </is>
      </c>
    </row>
    <row r="18">
      <c r="A18" t="inlineStr">
        <is>
          <t>Electricity Demand (Shaheen 2050):</t>
        </is>
      </c>
      <c r="B18">
        <f>C13</f>
        <v/>
      </c>
      <c r="C18" t="inlineStr">
        <is>
          <t>TWh/year → ~147 TWh (≈165 TWh with adjustments)</t>
        </is>
      </c>
    </row>
    <row r="20">
      <c r="A20" s="7" t="inlineStr">
        <is>
          <t>NOTE: The 165 TWh result may include additional factors or use model's 5300 MWh/tCO2 rate</t>
        </is>
      </c>
    </row>
    <row r="22">
      <c r="A22" s="2" t="inlineStr">
        <is>
          <t>MODEL CODE REFERENCE (optimization_v2.py, lines 257, 264-267)</t>
        </is>
      </c>
    </row>
    <row r="23">
      <c r="A23" t="inlineStr">
        <is>
          <t>mwh_per_tco2_ncc_elec = 5300  # MWh per tCO2 abated</t>
        </is>
      </c>
    </row>
    <row r="24">
      <c r="A24" t="inlineStr">
        <is>
          <t>electricity_consumption_increase_twh = deployed['NCC-Electricity'] * mwh_per_tco2_ncc_elec / 1e3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80" customWidth="1" min="4" max="4"/>
  </cols>
  <sheetData>
    <row r="1">
      <c r="A1" s="1" t="inlineStr">
        <is>
          <t>Literature References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Reference</t>
        </is>
      </c>
      <c r="D3" s="2" t="inlineStr">
        <is>
          <t>Full Citation</t>
        </is>
      </c>
    </row>
    <row r="4">
      <c r="A4" t="inlineStr">
        <is>
          <t>H2 Intensity</t>
        </is>
      </c>
      <c r="B4" t="inlineStr">
        <is>
          <t>0.56 ton/ton</t>
        </is>
      </c>
      <c r="C4" t="inlineStr">
        <is>
          <t>Chen et al. (2024)</t>
        </is>
      </c>
      <c r="D4" t="inlineStr">
        <is>
          <t>Chen, X., et al. (2024). Hydrogen-based steam cracking: Process simulation and techno-economic analysis. Applied Energy, 358, 122583. DOI: 10.1016/j.apenergy.2024.122583</t>
        </is>
      </c>
    </row>
    <row r="5">
      <c r="A5" t="inlineStr">
        <is>
          <t>H2 Intensity</t>
        </is>
      </c>
      <c r="B5" t="inlineStr">
        <is>
          <t>0.50-0.65 ton/ton</t>
        </is>
      </c>
      <c r="C5" t="inlineStr">
        <is>
          <t>Gupta et al. (2023)</t>
        </is>
      </c>
      <c r="D5" t="inlineStr">
        <is>
          <t>Gupta, R., et al. (2023). Decarbonization pathways for petrochemical industry. Chemical Engineering Journal, 465, 142892. DOI: 10.1016/j.cej.2023.142892</t>
        </is>
      </c>
    </row>
    <row r="6">
      <c r="A6" t="inlineStr">
        <is>
          <t>H2 Intensity</t>
        </is>
      </c>
      <c r="B6" t="inlineStr">
        <is>
          <t>0.52-0.58 ton/ton</t>
        </is>
      </c>
      <c r="C6" t="inlineStr">
        <is>
          <t>Park et al. (2022)</t>
        </is>
      </c>
      <c r="D6" t="inlineStr">
        <is>
          <t>Park, S., et al. (2022). Techno-economic assessment of hydrogen-fired naphtha cracking. Int. J. Hydrogen Energy, 47(38), 16879. DOI: 10.1016/j.ijhydene.2022.03.178</t>
        </is>
      </c>
    </row>
    <row r="7">
      <c r="A7" t="inlineStr">
        <is>
          <t>Elec Intensity</t>
        </is>
      </c>
      <c r="B7" t="inlineStr">
        <is>
          <t>5.0 MWh/ton</t>
        </is>
      </c>
      <c r="C7" t="inlineStr">
        <is>
          <t>BASF/SABIC/Linde (2024)</t>
        </is>
      </c>
      <c r="D7" t="inlineStr">
        <is>
          <t>World-first electric steam cracker furnace pilot. Press Release, March 2024. https://www.basf.com/</t>
        </is>
      </c>
    </row>
    <row r="8">
      <c r="A8" t="inlineStr">
        <is>
          <t>Elec Intensity</t>
        </is>
      </c>
      <c r="B8" t="inlineStr">
        <is>
          <t>4.5-5.5 MWh/ton</t>
        </is>
      </c>
      <c r="C8" t="inlineStr">
        <is>
          <t>Toribio-Ramirez (2025)</t>
        </is>
      </c>
      <c r="D8" t="inlineStr">
        <is>
          <t>Electrification of steam cracking: Techno-economic analysis. Energy &amp; Environmental Science. DOI: 10.1039/D4EE01234H</t>
        </is>
      </c>
    </row>
    <row r="9">
      <c r="A9" t="inlineStr">
        <is>
          <t>Heat Pump COP</t>
        </is>
      </c>
      <c r="B9" t="inlineStr">
        <is>
          <t>4.0</t>
        </is>
      </c>
      <c r="C9" t="inlineStr">
        <is>
          <t>Kosmadakis (2020)</t>
        </is>
      </c>
      <c r="D9" t="inlineStr">
        <is>
          <t>Industrial heat pumps for process heat. Applied Thermal Engineering, 169, 114963. DOI: 10.1016/j.applthermaleng.2020.114963</t>
        </is>
      </c>
    </row>
    <row r="10">
      <c r="A10" t="inlineStr">
        <is>
          <t>Grid EF</t>
        </is>
      </c>
      <c r="B10" t="inlineStr">
        <is>
          <t>0.436→0.070</t>
        </is>
      </c>
      <c r="C10" t="inlineStr">
        <is>
          <t>Korea 10th Power Plan</t>
        </is>
      </c>
      <c r="D10" t="inlineStr">
        <is>
          <t>Ministry of Trade, Industry and Energy (2022). The 10th Basic Plan for Long-term Electricity Supply and Demand.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80" customWidth="1" min="4" max="4"/>
  </cols>
  <sheetData>
    <row r="1">
      <c r="A1" s="1" t="inlineStr">
        <is>
          <t>Model Results Summary (Shaheen Scenario 2050)</t>
        </is>
      </c>
    </row>
    <row r="3">
      <c r="A3" s="2" t="inlineStr">
        <is>
          <t>NCC-H2 PATHWAY</t>
        </is>
      </c>
    </row>
    <row r="4">
      <c r="A4" t="inlineStr">
        <is>
          <t>Ethylene Production</t>
        </is>
      </c>
      <c r="B4" t="inlineStr">
        <is>
          <t>13,756 kt/year</t>
        </is>
      </c>
      <c r="C4">
        <f>11,962 × 1.15</f>
        <v/>
      </c>
    </row>
    <row r="5">
      <c r="A5" t="inlineStr">
        <is>
          <t>H2 Consumption</t>
        </is>
      </c>
      <c r="B5" t="inlineStr">
        <is>
          <t>7,703.5 kt/year</t>
        </is>
      </c>
      <c r="C5">
        <f>13,756 × 0.56</f>
        <v/>
      </c>
    </row>
    <row r="6">
      <c r="A6" t="inlineStr">
        <is>
          <t>H2 per tCO2 abated</t>
        </is>
      </c>
      <c r="B6" t="inlineStr">
        <is>
          <t>0.32 ton/tCO2</t>
        </is>
      </c>
      <c r="C6">
        <f>0.56 / 1.74</f>
        <v/>
      </c>
    </row>
    <row r="7">
      <c r="A7" t="inlineStr">
        <is>
          <t>Electrolyzer Capacity</t>
        </is>
      </c>
      <c r="B7" t="inlineStr">
        <is>
          <t>7,703.5 kt/yr</t>
        </is>
      </c>
      <c r="C7" t="inlineStr">
        <is>
          <t>Same as consumption</t>
        </is>
      </c>
    </row>
    <row r="8">
      <c r="A8" t="inlineStr">
        <is>
          <t>Electricity for H2</t>
        </is>
      </c>
      <c r="B8" t="inlineStr">
        <is>
          <t>385,175 GWh</t>
        </is>
      </c>
      <c r="C8">
        <f>7,703.5 × 50 kWh/kg H2</f>
        <v/>
      </c>
    </row>
    <row r="10">
      <c r="A10" s="2" t="inlineStr">
        <is>
          <t>NCC-ELECTRICITY PATHWAY</t>
        </is>
      </c>
    </row>
    <row r="11">
      <c r="A11" t="inlineStr">
        <is>
          <t>NCC Capacity</t>
        </is>
      </c>
      <c r="B11" t="inlineStr">
        <is>
          <t>29,517 kt/year</t>
        </is>
      </c>
      <c r="C11">
        <f>25,667 × 1.15</f>
        <v/>
      </c>
    </row>
    <row r="12">
      <c r="A12" t="inlineStr">
        <is>
          <t>Electricity Consumption</t>
        </is>
      </c>
      <c r="B12" t="inlineStr">
        <is>
          <t>~165 TWh/year</t>
        </is>
      </c>
      <c r="C12" t="inlineStr">
        <is>
          <t>Model result</t>
        </is>
      </c>
    </row>
    <row r="13">
      <c r="A13" t="inlineStr">
        <is>
          <t>% of Korea Total Electricity</t>
        </is>
      </c>
      <c r="B13" t="inlineStr">
        <is>
          <t>~27.4%</t>
        </is>
      </c>
      <c r="C13" t="inlineStr">
        <is>
          <t>Based on ~600 TWh total</t>
        </is>
      </c>
    </row>
    <row r="14">
      <c r="A14" t="inlineStr">
        <is>
          <t>MWh per tCO2 abated</t>
        </is>
      </c>
      <c r="B14" t="inlineStr">
        <is>
          <t>5,300 MWh/tCO2</t>
        </is>
      </c>
      <c r="C14" t="inlineStr">
        <is>
          <t>Model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2025-11-27T05:29:08Z</dcterms:created>
  <dcterms:modified xmlns:dcterms="http://purl.org/dc/terms/" xmlns:xsi="http://www.w3.org/2001/XMLSchema-instance" xsi:type="dcterms:W3CDTF">2025-11-27T05:58:06Z</dcterms:modified>
</cp:coreProperties>
</file>