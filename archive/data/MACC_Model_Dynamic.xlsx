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put_Parameters" sheetId="1" state="visible" r:id="rId1"/>
    <sheet xmlns:r="http://schemas.openxmlformats.org/officeDocument/2006/relationships" name="2_6Scenario_Summary" sheetId="2" state="visible" r:id="rId2"/>
    <sheet xmlns:r="http://schemas.openxmlformats.org/officeDocument/2006/relationships" name="3_Regional_H2" sheetId="3" state="visible" r:id="rId3"/>
    <sheet xmlns:r="http://schemas.openxmlformats.org/officeDocument/2006/relationships" name="4_Regional_Electricity" sheetId="4" state="visible" r:id="rId4"/>
    <sheet xmlns:r="http://schemas.openxmlformats.org/officeDocument/2006/relationships" name="5_NCC_Facilities" sheetId="5" state="visible" r:id="rId5"/>
    <sheet xmlns:r="http://schemas.openxmlformats.org/officeDocument/2006/relationships" name="6_Ethylene_Facil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0000"/>
    </font>
    <font>
      <b val="1"/>
      <sz val="12"/>
    </font>
    <font>
      <b val="1"/>
      <color rgb="00FFFFFF"/>
      <sz val="11"/>
    </font>
    <font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D6EAF8"/>
        <bgColor rgb="00D6EAF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0" fontId="5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25" customWidth="1" min="4" max="4"/>
  </cols>
  <sheetData>
    <row r="1">
      <c r="A1" s="1" t="inlineStr">
        <is>
          <t>Korean Petrochemical MACC Model - Input Parameters</t>
        </is>
      </c>
    </row>
    <row r="2">
      <c r="A2" s="2" t="inlineStr">
        <is>
          <t>노란색 셀을 수정하면 모든 계산이 자동으로 업데이트됩니다</t>
        </is>
      </c>
    </row>
    <row r="4">
      <c r="A4" s="3" t="inlineStr">
        <is>
          <t>KEY PARAMETERS (수정 가능)</t>
        </is>
      </c>
    </row>
    <row r="5">
      <c r="A5" s="4" t="inlineStr">
        <is>
          <t>Parameter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Source</t>
        </is>
      </c>
    </row>
    <row r="6">
      <c r="A6" s="5" t="inlineStr">
        <is>
          <t>H2 Intensity</t>
        </is>
      </c>
      <c r="B6" s="6" t="n">
        <v>0.5600000000000001</v>
      </c>
      <c r="C6" s="5" t="inlineStr">
        <is>
          <t>ton H2/ton C2H4</t>
        </is>
      </c>
      <c r="D6" s="5" t="inlineStr">
        <is>
          <t>Chen 2024, Gupta 2023</t>
        </is>
      </c>
    </row>
    <row r="7">
      <c r="A7" s="5" t="inlineStr">
        <is>
          <t>Electricity per tCO2</t>
        </is>
      </c>
      <c r="B7" s="6" t="n">
        <v>5.3</v>
      </c>
      <c r="C7" s="5" t="inlineStr">
        <is>
          <t>TWh/MtCO2</t>
        </is>
      </c>
      <c r="D7" s="5" t="inlineStr">
        <is>
          <t>Model: 5300 MWh/tCO2</t>
        </is>
      </c>
    </row>
    <row r="8">
      <c r="A8" s="5" t="inlineStr">
        <is>
          <t>Shaheen Multiplier</t>
        </is>
      </c>
      <c r="B8" s="6" t="n">
        <v>1.15</v>
      </c>
      <c r="C8" s="5" t="inlineStr">
        <is>
          <t>×</t>
        </is>
      </c>
      <c r="D8" s="5" t="inlineStr">
        <is>
          <t>+15% by 2026</t>
        </is>
      </c>
    </row>
    <row r="9">
      <c r="A9" s="5" t="inlineStr">
        <is>
          <t>Restructure 25% Multiplier</t>
        </is>
      </c>
      <c r="B9" s="6" t="n">
        <v>0.6909999999999999</v>
      </c>
      <c r="C9" s="5" t="inlineStr">
        <is>
          <t>×</t>
        </is>
      </c>
      <c r="D9" s="5" t="inlineStr">
        <is>
          <t>-30.9%</t>
        </is>
      </c>
    </row>
    <row r="10">
      <c r="A10" s="5" t="inlineStr">
        <is>
          <t>Restructure 40% Multiplier</t>
        </is>
      </c>
      <c r="B10" s="6" t="n">
        <v>0.6</v>
      </c>
      <c r="C10" s="5" t="inlineStr">
        <is>
          <t>×</t>
        </is>
      </c>
      <c r="D10" s="5" t="inlineStr">
        <is>
          <t>-40% by 2040</t>
        </is>
      </c>
    </row>
    <row r="11">
      <c r="A11" s="5" t="inlineStr">
        <is>
          <t>H2 Production Efficiency</t>
        </is>
      </c>
      <c r="B11" s="6" t="n">
        <v>50</v>
      </c>
      <c r="C11" s="5" t="inlineStr">
        <is>
          <t>kWh/kg H2</t>
        </is>
      </c>
      <c r="D11" s="5" t="inlineStr">
        <is>
          <t>Electrolyzer</t>
        </is>
      </c>
    </row>
    <row r="14">
      <c r="A14" s="3" t="inlineStr">
        <is>
          <t>FIXED DATA (from 248 facility database)</t>
        </is>
      </c>
    </row>
    <row r="15">
      <c r="A15" s="4" t="inlineStr">
        <is>
          <t>Parameter</t>
        </is>
      </c>
      <c r="B15" s="4" t="inlineStr">
        <is>
          <t>Value</t>
        </is>
      </c>
      <c r="C15" s="4" t="inlineStr">
        <is>
          <t>Unit</t>
        </is>
      </c>
    </row>
    <row r="16">
      <c r="A16" s="7" t="inlineStr">
        <is>
          <t>Total Ethylene Capacity (2025)</t>
        </is>
      </c>
      <c r="B16" s="7" t="n">
        <v>11962</v>
      </c>
      <c r="C16" s="7" t="inlineStr">
        <is>
          <t>kt/year</t>
        </is>
      </c>
    </row>
    <row r="17">
      <c r="A17" s="7" t="inlineStr">
        <is>
          <t>Total NCC Capacity (2025)</t>
        </is>
      </c>
      <c r="B17" s="7" t="n">
        <v>25667</v>
      </c>
      <c r="C17" s="7" t="inlineStr">
        <is>
          <t>kt/year</t>
        </is>
      </c>
    </row>
    <row r="20">
      <c r="A20" s="3" t="inlineStr">
        <is>
          <t>ETHYLENE BY LOCATION (for H2 calculation)</t>
        </is>
      </c>
    </row>
    <row r="21">
      <c r="A21" s="4" t="inlineStr">
        <is>
          <t>Location</t>
        </is>
      </c>
      <c r="B21" s="4" t="inlineStr">
        <is>
          <t>Ethylene (kt)</t>
        </is>
      </c>
    </row>
    <row r="22">
      <c r="A22" s="5" t="inlineStr">
        <is>
          <t>Yeosu</t>
        </is>
      </c>
      <c r="B22" s="5" t="n">
        <v>5445</v>
      </c>
    </row>
    <row r="23">
      <c r="A23" s="5" t="inlineStr">
        <is>
          <t>Daesan</t>
        </is>
      </c>
      <c r="B23" s="5" t="n">
        <v>4775</v>
      </c>
    </row>
    <row r="24">
      <c r="A24" s="5" t="inlineStr">
        <is>
          <t>Ulsan</t>
        </is>
      </c>
      <c r="B24" s="5" t="n">
        <v>660</v>
      </c>
    </row>
    <row r="25">
      <c r="A25" s="5" t="inlineStr">
        <is>
          <t>Onsan</t>
        </is>
      </c>
      <c r="B25" s="5" t="n">
        <v>1082</v>
      </c>
    </row>
    <row r="26">
      <c r="A26" s="8" t="inlineStr">
        <is>
          <t>Total</t>
        </is>
      </c>
      <c r="B26" s="8">
        <f>SUM(B22:B25)</f>
        <v/>
      </c>
    </row>
    <row r="29">
      <c r="A29" s="3" t="inlineStr">
        <is>
          <t>BAU EMISSIONS BY SCENARIO (MtCO2)</t>
        </is>
      </c>
    </row>
    <row r="30">
      <c r="A30" s="4" t="inlineStr">
        <is>
          <t>Scenario</t>
        </is>
      </c>
      <c r="B30" s="4" t="inlineStr">
        <is>
          <t>BAU (MtCO2)</t>
        </is>
      </c>
      <c r="C30" s="4" t="inlineStr">
        <is>
          <t>Note</t>
        </is>
      </c>
    </row>
    <row r="31">
      <c r="A31" s="5" t="inlineStr">
        <is>
          <t>Shaheen</t>
        </is>
      </c>
      <c r="B31" s="6" t="n">
        <v>68</v>
      </c>
      <c r="C31" s="5" t="inlineStr">
        <is>
          <t>From Streamlit</t>
        </is>
      </c>
    </row>
    <row r="32">
      <c r="A32" s="5" t="inlineStr">
        <is>
          <t>구조조정 25%</t>
        </is>
      </c>
      <c r="B32" s="6" t="n">
        <v>40.9</v>
      </c>
      <c r="C32" s="5" t="inlineStr">
        <is>
          <t>From Streamlit</t>
        </is>
      </c>
    </row>
    <row r="33">
      <c r="A33" s="5" t="inlineStr">
        <is>
          <t>구조조정 40%</t>
        </is>
      </c>
      <c r="B33" s="6" t="n">
        <v>35.5</v>
      </c>
      <c r="C33" s="5" t="inlineStr">
        <is>
          <t>From Streamlit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  <col width="18" customWidth="1" min="7" max="7"/>
  </cols>
  <sheetData>
    <row r="1">
      <c r="A1" s="1" t="inlineStr">
        <is>
          <t>6-Scenario Summary (2050) - Matching Streamlit</t>
        </is>
      </c>
    </row>
    <row r="2">
      <c r="A2" t="inlineStr">
        <is>
          <t>모든 값은 Sheet1의 파라미터를 참조합니다</t>
        </is>
      </c>
    </row>
    <row r="4">
      <c r="A4" s="4" t="inlineStr">
        <is>
          <t>#</t>
        </is>
      </c>
      <c r="B4" s="4" t="inlineStr">
        <is>
          <t>Scenario</t>
        </is>
      </c>
      <c r="C4" s="4" t="inlineStr">
        <is>
          <t>BAU (MtCO₂)</t>
        </is>
      </c>
      <c r="D4" s="4" t="inlineStr">
        <is>
          <t>NCC-H₂ (Mt)</t>
        </is>
      </c>
      <c r="E4" s="4" t="inlineStr">
        <is>
          <t>NCC-Elec (Mt)</t>
        </is>
      </c>
      <c r="F4" s="4" t="inlineStr">
        <is>
          <t>H₂ Demand (kt/yr)</t>
        </is>
      </c>
      <c r="G4" s="4" t="inlineStr">
        <is>
          <t>Electricity (TWh)</t>
        </is>
      </c>
    </row>
    <row r="5">
      <c r="A5" s="5" t="n">
        <v>0</v>
      </c>
      <c r="B5" s="5" t="inlineStr">
        <is>
          <t>Shaheen (성장) + NCC-H2</t>
        </is>
      </c>
      <c r="C5" s="5">
        <f>'1_Input_Parameters'!B31</f>
        <v/>
      </c>
      <c r="D5" s="5">
        <f>'1_Input_Parameters'!B31</f>
        <v/>
      </c>
      <c r="E5" s="5" t="inlineStr">
        <is>
          <t>0</t>
        </is>
      </c>
      <c r="F5" s="5">
        <f>'1_Input_Parameters'!B16*'1_Input_Parameters'!B8*'1_Input_Parameters'!B6</f>
        <v/>
      </c>
      <c r="G5" s="5" t="inlineStr">
        <is>
          <t>0</t>
        </is>
      </c>
    </row>
    <row r="6">
      <c r="A6" s="5" t="n">
        <v>1</v>
      </c>
      <c r="B6" s="5" t="inlineStr">
        <is>
          <t>Shaheen (성장) + NCC-Electricity</t>
        </is>
      </c>
      <c r="C6" s="5">
        <f>'1_Input_Parameters'!B31</f>
        <v/>
      </c>
      <c r="D6" s="5" t="inlineStr">
        <is>
          <t>0</t>
        </is>
      </c>
      <c r="E6" s="5">
        <f>'1_Input_Parameters'!B31</f>
        <v/>
      </c>
      <c r="F6" s="5" t="inlineStr">
        <is>
          <t>0</t>
        </is>
      </c>
      <c r="G6" s="5">
        <f>E6*'1_Input_Parameters'!B7</f>
        <v/>
      </c>
    </row>
    <row r="7">
      <c r="A7" s="5" t="n">
        <v>2</v>
      </c>
      <c r="B7" s="5" t="inlineStr">
        <is>
          <t>구조조정 25% + NCC-H2</t>
        </is>
      </c>
      <c r="C7" s="5">
        <f>'1_Input_Parameters'!B32</f>
        <v/>
      </c>
      <c r="D7" s="5">
        <f>'1_Input_Parameters'!B32</f>
        <v/>
      </c>
      <c r="E7" s="5" t="inlineStr">
        <is>
          <t>0</t>
        </is>
      </c>
      <c r="F7" s="5">
        <f>'1_Input_Parameters'!B16*'1_Input_Parameters'!B9*'1_Input_Parameters'!B6</f>
        <v/>
      </c>
      <c r="G7" s="5" t="inlineStr">
        <is>
          <t>0</t>
        </is>
      </c>
    </row>
    <row r="8">
      <c r="A8" s="5" t="n">
        <v>3</v>
      </c>
      <c r="B8" s="5" t="inlineStr">
        <is>
          <t>구조조정 25% + NCC-Electricity</t>
        </is>
      </c>
      <c r="C8" s="5">
        <f>'1_Input_Parameters'!B32</f>
        <v/>
      </c>
      <c r="D8" s="5" t="inlineStr">
        <is>
          <t>0</t>
        </is>
      </c>
      <c r="E8" s="5">
        <f>'1_Input_Parameters'!B32</f>
        <v/>
      </c>
      <c r="F8" s="5" t="inlineStr">
        <is>
          <t>0</t>
        </is>
      </c>
      <c r="G8" s="5">
        <f>E8*'1_Input_Parameters'!B7</f>
        <v/>
      </c>
    </row>
    <row r="9">
      <c r="A9" s="5" t="n">
        <v>4</v>
      </c>
      <c r="B9" s="5" t="inlineStr">
        <is>
          <t>구조조정 40% + NCC-H2</t>
        </is>
      </c>
      <c r="C9" s="5">
        <f>'1_Input_Parameters'!B33</f>
        <v/>
      </c>
      <c r="D9" s="5">
        <f>'1_Input_Parameters'!B33</f>
        <v/>
      </c>
      <c r="E9" s="5" t="inlineStr">
        <is>
          <t>0</t>
        </is>
      </c>
      <c r="F9" s="5">
        <f>'1_Input_Parameters'!B16*'1_Input_Parameters'!B10*'1_Input_Parameters'!B6</f>
        <v/>
      </c>
      <c r="G9" s="5" t="inlineStr">
        <is>
          <t>0</t>
        </is>
      </c>
    </row>
    <row r="10">
      <c r="A10" s="5" t="n">
        <v>5</v>
      </c>
      <c r="B10" s="5" t="inlineStr">
        <is>
          <t>구조조정 40% + NCC-Electricity</t>
        </is>
      </c>
      <c r="C10" s="5">
        <f>'1_Input_Parameters'!B33</f>
        <v/>
      </c>
      <c r="D10" s="5" t="inlineStr">
        <is>
          <t>0</t>
        </is>
      </c>
      <c r="E10" s="5">
        <f>'1_Input_Parameters'!B33</f>
        <v/>
      </c>
      <c r="F10" s="5" t="inlineStr">
        <is>
          <t>0</t>
        </is>
      </c>
      <c r="G10" s="5">
        <f>E10*'1_Input_Parameters'!B7</f>
        <v/>
      </c>
    </row>
    <row r="12">
      <c r="A12" s="3" t="inlineStr">
        <is>
          <t>VERIFICATION (Streamlit 값과 비교)</t>
        </is>
      </c>
    </row>
    <row r="13">
      <c r="A13" s="4" t="inlineStr">
        <is>
          <t>Metric</t>
        </is>
      </c>
      <c r="B13" s="4" t="inlineStr">
        <is>
          <t>Streamlit</t>
        </is>
      </c>
      <c r="C13" s="4" t="inlineStr">
        <is>
          <t>Excel</t>
        </is>
      </c>
      <c r="D13" s="4" t="inlineStr">
        <is>
          <t>Unit</t>
        </is>
      </c>
    </row>
    <row r="14">
      <c r="A14" s="5" t="inlineStr">
        <is>
          <t>Shaheen H2</t>
        </is>
      </c>
      <c r="B14" s="5" t="n">
        <v>7703.5</v>
      </c>
      <c r="C14" s="5">
        <f>F5</f>
        <v/>
      </c>
      <c r="D14" s="5" t="inlineStr">
        <is>
          <t>kt/yr</t>
        </is>
      </c>
    </row>
    <row r="15">
      <c r="A15" s="5" t="inlineStr">
        <is>
          <t>Shaheen Elec</t>
        </is>
      </c>
      <c r="B15" s="5" t="n">
        <v>164.5</v>
      </c>
      <c r="C15" s="5">
        <f>G6</f>
        <v/>
      </c>
      <c r="D15" s="5" t="inlineStr">
        <is>
          <t>TWh</t>
        </is>
      </c>
    </row>
    <row r="16">
      <c r="A16" s="5" t="inlineStr">
        <is>
          <t>25% H2</t>
        </is>
      </c>
      <c r="B16" s="5" t="n">
        <v>4628.8</v>
      </c>
      <c r="C16" s="5">
        <f>F7</f>
        <v/>
      </c>
      <c r="D16" s="5" t="inlineStr">
        <is>
          <t>kt/yr</t>
        </is>
      </c>
    </row>
    <row r="17">
      <c r="A17" s="5" t="inlineStr">
        <is>
          <t>25% Elec</t>
        </is>
      </c>
      <c r="B17" s="5" t="n">
        <v>98.90000000000001</v>
      </c>
      <c r="C17" s="5">
        <f>G8</f>
        <v/>
      </c>
      <c r="D17" s="5" t="inlineStr">
        <is>
          <t>TWh</t>
        </is>
      </c>
    </row>
    <row r="18">
      <c r="A18" s="5" t="inlineStr">
        <is>
          <t>40% H2</t>
        </is>
      </c>
      <c r="B18" s="5" t="n">
        <v>4019.2</v>
      </c>
      <c r="C18" s="5">
        <f>F9</f>
        <v/>
      </c>
      <c r="D18" s="5" t="inlineStr">
        <is>
          <t>kt/yr</t>
        </is>
      </c>
    </row>
    <row r="19">
      <c r="A19" s="5" t="inlineStr">
        <is>
          <t>40% Elec</t>
        </is>
      </c>
      <c r="B19" s="5" t="n">
        <v>85.90000000000001</v>
      </c>
      <c r="C19" s="5">
        <f>G10</f>
        <v/>
      </c>
      <c r="D19" s="5" t="inlineStr">
        <is>
          <t>TWh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Regional H2 Demand by Scenario</t>
        </is>
      </c>
    </row>
    <row r="2">
      <c r="A2" t="inlineStr">
        <is>
          <t>H2 = Ethylene × Multiplier × H2_Intensity</t>
        </is>
      </c>
    </row>
    <row r="4">
      <c r="A4" s="3" t="inlineStr">
        <is>
          <t>ETHYLENE CAPACITY BY LOCATION</t>
        </is>
      </c>
    </row>
    <row r="5">
      <c r="A5" s="4" t="inlineStr">
        <is>
          <t>Location</t>
        </is>
      </c>
      <c r="B5" s="4" t="inlineStr">
        <is>
          <t>Ethylene (kt)</t>
        </is>
      </c>
      <c r="C5" s="4" t="inlineStr">
        <is>
          <t>Share (%)</t>
        </is>
      </c>
    </row>
    <row r="6">
      <c r="A6" s="5" t="inlineStr">
        <is>
          <t>Yeosu</t>
        </is>
      </c>
      <c r="B6" s="5" t="n">
        <v>5445</v>
      </c>
      <c r="C6" s="5">
        <f>B6/B10*100</f>
        <v/>
      </c>
    </row>
    <row r="7">
      <c r="A7" s="5" t="inlineStr">
        <is>
          <t>Daesan</t>
        </is>
      </c>
      <c r="B7" s="5" t="n">
        <v>4775</v>
      </c>
      <c r="C7" s="5">
        <f>B7/B10*100</f>
        <v/>
      </c>
    </row>
    <row r="8">
      <c r="A8" s="5" t="inlineStr">
        <is>
          <t>Ulsan</t>
        </is>
      </c>
      <c r="B8" s="5" t="n">
        <v>660</v>
      </c>
      <c r="C8" s="5">
        <f>B8/B10*100</f>
        <v/>
      </c>
    </row>
    <row r="9">
      <c r="A9" s="5" t="inlineStr">
        <is>
          <t>Onsan</t>
        </is>
      </c>
      <c r="B9" s="5" t="n">
        <v>1082</v>
      </c>
      <c r="C9" s="5">
        <f>B9/B10*100</f>
        <v/>
      </c>
    </row>
    <row r="10">
      <c r="A10" s="8" t="inlineStr">
        <is>
          <t>Total</t>
        </is>
      </c>
      <c r="B10" s="8">
        <f>SUM(B6:B9)</f>
        <v/>
      </c>
      <c r="C10" s="8" t="inlineStr">
        <is>
          <t>100%</t>
        </is>
      </c>
    </row>
    <row r="13">
      <c r="A13" s="3" t="inlineStr">
        <is>
          <t>H2 DEMAND BY SCENARIO (kt/year)</t>
        </is>
      </c>
    </row>
    <row r="14">
      <c r="A14" s="4" t="inlineStr">
        <is>
          <t>Location</t>
        </is>
      </c>
      <c r="B14" s="4" t="inlineStr">
        <is>
          <t>Shaheen</t>
        </is>
      </c>
      <c r="C14" s="4" t="inlineStr">
        <is>
          <t>구조조정 25%</t>
        </is>
      </c>
      <c r="D14" s="4" t="inlineStr">
        <is>
          <t>구조조정 40%</t>
        </is>
      </c>
    </row>
    <row r="15">
      <c r="A15" s="5" t="inlineStr">
        <is>
          <t>Yeosu</t>
        </is>
      </c>
      <c r="B15" s="5">
        <f>B6*'1_Input_Parameters'!B8*'1_Input_Parameters'!B6</f>
        <v/>
      </c>
      <c r="C15" s="5">
        <f>B6*'1_Input_Parameters'!B9*'1_Input_Parameters'!B6</f>
        <v/>
      </c>
      <c r="D15" s="5">
        <f>B6*'1_Input_Parameters'!B10*'1_Input_Parameters'!B6</f>
        <v/>
      </c>
    </row>
    <row r="16">
      <c r="A16" s="5" t="inlineStr">
        <is>
          <t>Daesan</t>
        </is>
      </c>
      <c r="B16" s="5">
        <f>B7*'1_Input_Parameters'!B8*'1_Input_Parameters'!B6</f>
        <v/>
      </c>
      <c r="C16" s="5">
        <f>B7*'1_Input_Parameters'!B9*'1_Input_Parameters'!B6</f>
        <v/>
      </c>
      <c r="D16" s="5">
        <f>B7*'1_Input_Parameters'!B10*'1_Input_Parameters'!B6</f>
        <v/>
      </c>
    </row>
    <row r="17">
      <c r="A17" s="5" t="inlineStr">
        <is>
          <t>Ulsan</t>
        </is>
      </c>
      <c r="B17" s="5">
        <f>B8*'1_Input_Parameters'!B8*'1_Input_Parameters'!B6</f>
        <v/>
      </c>
      <c r="C17" s="5">
        <f>B8*'1_Input_Parameters'!B9*'1_Input_Parameters'!B6</f>
        <v/>
      </c>
      <c r="D17" s="5">
        <f>B8*'1_Input_Parameters'!B10*'1_Input_Parameters'!B6</f>
        <v/>
      </c>
    </row>
    <row r="18">
      <c r="A18" s="5" t="inlineStr">
        <is>
          <t>Onsan</t>
        </is>
      </c>
      <c r="B18" s="5">
        <f>B9*'1_Input_Parameters'!B8*'1_Input_Parameters'!B6</f>
        <v/>
      </c>
      <c r="C18" s="5">
        <f>B9*'1_Input_Parameters'!B9*'1_Input_Parameters'!B6</f>
        <v/>
      </c>
      <c r="D18" s="5">
        <f>B9*'1_Input_Parameters'!B10*'1_Input_Parameters'!B6</f>
        <v/>
      </c>
    </row>
    <row r="19">
      <c r="A19" s="8" t="inlineStr">
        <is>
          <t>Total</t>
        </is>
      </c>
      <c r="B19" s="8">
        <f>SUM(B15:B18)</f>
        <v/>
      </c>
      <c r="C19" s="8">
        <f>SUM(C15:C18)</f>
        <v/>
      </c>
      <c r="D19" s="8">
        <f>SUM(D15:D18)</f>
        <v/>
      </c>
    </row>
    <row r="22">
      <c r="A22" s="3" t="inlineStr">
        <is>
          <t>ELECTRICITY FOR H2 PRODUCTION (TWh/year)</t>
        </is>
      </c>
    </row>
    <row r="23">
      <c r="A23" t="inlineStr">
        <is>
          <t>Elec = H2 × H2_Production_Efficiency / 1000</t>
        </is>
      </c>
    </row>
    <row r="24">
      <c r="A24" s="4" t="inlineStr">
        <is>
          <t>Location</t>
        </is>
      </c>
      <c r="B24" s="4" t="inlineStr">
        <is>
          <t>Shaheen</t>
        </is>
      </c>
      <c r="C24" s="4" t="inlineStr">
        <is>
          <t>구조조정 25%</t>
        </is>
      </c>
      <c r="D24" s="4" t="inlineStr">
        <is>
          <t>구조조정 40%</t>
        </is>
      </c>
    </row>
    <row r="25">
      <c r="A25" s="5" t="inlineStr">
        <is>
          <t>Yeosu</t>
        </is>
      </c>
      <c r="B25" s="5">
        <f>B15*'1_Input_Parameters'!B11/1000</f>
        <v/>
      </c>
      <c r="C25" s="5">
        <f>C15*'1_Input_Parameters'!B11/1000</f>
        <v/>
      </c>
      <c r="D25" s="5">
        <f>D15*'1_Input_Parameters'!B11/1000</f>
        <v/>
      </c>
    </row>
    <row r="26">
      <c r="A26" s="5" t="inlineStr">
        <is>
          <t>Daesan</t>
        </is>
      </c>
      <c r="B26" s="5">
        <f>B16*'1_Input_Parameters'!B11/1000</f>
        <v/>
      </c>
      <c r="C26" s="5">
        <f>C16*'1_Input_Parameters'!B11/1000</f>
        <v/>
      </c>
      <c r="D26" s="5">
        <f>D16*'1_Input_Parameters'!B11/1000</f>
        <v/>
      </c>
    </row>
    <row r="27">
      <c r="A27" s="5" t="inlineStr">
        <is>
          <t>Ulsan</t>
        </is>
      </c>
      <c r="B27" s="5">
        <f>B17*'1_Input_Parameters'!B11/1000</f>
        <v/>
      </c>
      <c r="C27" s="5">
        <f>C17*'1_Input_Parameters'!B11/1000</f>
        <v/>
      </c>
      <c r="D27" s="5">
        <f>D17*'1_Input_Parameters'!B11/1000</f>
        <v/>
      </c>
    </row>
    <row r="28">
      <c r="A28" s="5" t="inlineStr">
        <is>
          <t>Onsan</t>
        </is>
      </c>
      <c r="B28" s="5">
        <f>B18*'1_Input_Parameters'!B11/1000</f>
        <v/>
      </c>
      <c r="C28" s="5">
        <f>C18*'1_Input_Parameters'!B11/1000</f>
        <v/>
      </c>
      <c r="D28" s="5">
        <f>D18*'1_Input_Parameters'!B11/1000</f>
        <v/>
      </c>
    </row>
    <row r="29">
      <c r="A29" s="8" t="inlineStr">
        <is>
          <t>Total</t>
        </is>
      </c>
      <c r="B29" s="8">
        <f>SUM(B25:B28)</f>
        <v/>
      </c>
      <c r="C29" s="8">
        <f>SUM(C25:C28)</f>
        <v/>
      </c>
      <c r="D29" s="8">
        <f>SUM(D25:D28)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Regional Electricity Demand (NCC-Electricity Pathway)</t>
        </is>
      </c>
    </row>
    <row r="2">
      <c r="A2" t="inlineStr">
        <is>
          <t>Electricity = BAU_MtCO2 × Location_Share × Elec_per_tCO2</t>
        </is>
      </c>
    </row>
    <row r="4">
      <c r="A4" s="3" t="inlineStr">
        <is>
          <t>NCC CAPACITY BY LOCATION (for share calculation)</t>
        </is>
      </c>
    </row>
    <row r="5">
      <c r="A5" s="4" t="inlineStr">
        <is>
          <t>Location</t>
        </is>
      </c>
      <c r="B5" s="4" t="inlineStr">
        <is>
          <t>NCC Capacity (kt)</t>
        </is>
      </c>
      <c r="C5" s="4" t="inlineStr">
        <is>
          <t>Share (%)</t>
        </is>
      </c>
    </row>
    <row r="6">
      <c r="A6" s="5" t="inlineStr">
        <is>
          <t>Yeosu</t>
        </is>
      </c>
      <c r="B6" s="5" t="n">
        <v>10766</v>
      </c>
      <c r="C6" s="5">
        <f>B6/B10*100</f>
        <v/>
      </c>
    </row>
    <row r="7">
      <c r="A7" s="5" t="inlineStr">
        <is>
          <t>Daesan</t>
        </is>
      </c>
      <c r="B7" s="5" t="n">
        <v>8643</v>
      </c>
      <c r="C7" s="5">
        <f>B7/B10*100</f>
        <v/>
      </c>
    </row>
    <row r="8">
      <c r="A8" s="5" t="inlineStr">
        <is>
          <t>Ulsan</t>
        </is>
      </c>
      <c r="B8" s="5" t="n">
        <v>3776</v>
      </c>
      <c r="C8" s="5">
        <f>B8/B10*100</f>
        <v/>
      </c>
    </row>
    <row r="9">
      <c r="A9" s="5" t="inlineStr">
        <is>
          <t>Onsan</t>
        </is>
      </c>
      <c r="B9" s="5" t="n">
        <v>2482</v>
      </c>
      <c r="C9" s="5">
        <f>B9/B10*100</f>
        <v/>
      </c>
    </row>
    <row r="10">
      <c r="A10" s="8" t="inlineStr">
        <is>
          <t>Total</t>
        </is>
      </c>
      <c r="B10" s="8">
        <f>SUM(B6:B9)</f>
        <v/>
      </c>
      <c r="C10" s="8" t="inlineStr">
        <is>
          <t>100%</t>
        </is>
      </c>
    </row>
    <row r="13">
      <c r="A13" s="3" t="inlineStr">
        <is>
          <t>ELECTRICITY DEMAND BY SCENARIO (TWh/year)</t>
        </is>
      </c>
    </row>
    <row r="14">
      <c r="A14" t="inlineStr">
        <is>
          <t>Formula: BAU(MtCO2) × Location_Share(%) × Elec_per_tCO2(TWh/MtCO2) / 100</t>
        </is>
      </c>
    </row>
    <row r="15">
      <c r="A15" s="4" t="inlineStr">
        <is>
          <t>Location</t>
        </is>
      </c>
      <c r="B15" s="4" t="inlineStr">
        <is>
          <t>Shaheen</t>
        </is>
      </c>
      <c r="C15" s="4" t="inlineStr">
        <is>
          <t>구조조정 25%</t>
        </is>
      </c>
      <c r="D15" s="4" t="inlineStr">
        <is>
          <t>구조조정 40%</t>
        </is>
      </c>
    </row>
    <row r="16">
      <c r="A16" s="5" t="inlineStr">
        <is>
          <t>Yeosu</t>
        </is>
      </c>
      <c r="B16" s="5">
        <f>'1_Input_Parameters'!B31*C6*'1_Input_Parameters'!B7/100</f>
        <v/>
      </c>
      <c r="C16" s="5">
        <f>'1_Input_Parameters'!B32*C6*'1_Input_Parameters'!B7/100</f>
        <v/>
      </c>
      <c r="D16" s="5">
        <f>'1_Input_Parameters'!B33*C6*'1_Input_Parameters'!B7/100</f>
        <v/>
      </c>
    </row>
    <row r="17">
      <c r="A17" s="5" t="inlineStr">
        <is>
          <t>Daesan</t>
        </is>
      </c>
      <c r="B17" s="5">
        <f>'1_Input_Parameters'!B31*C7*'1_Input_Parameters'!B7/100</f>
        <v/>
      </c>
      <c r="C17" s="5">
        <f>'1_Input_Parameters'!B32*C7*'1_Input_Parameters'!B7/100</f>
        <v/>
      </c>
      <c r="D17" s="5">
        <f>'1_Input_Parameters'!B33*C7*'1_Input_Parameters'!B7/100</f>
        <v/>
      </c>
    </row>
    <row r="18">
      <c r="A18" s="5" t="inlineStr">
        <is>
          <t>Ulsan</t>
        </is>
      </c>
      <c r="B18" s="5">
        <f>'1_Input_Parameters'!B31*C8*'1_Input_Parameters'!B7/100</f>
        <v/>
      </c>
      <c r="C18" s="5">
        <f>'1_Input_Parameters'!B32*C8*'1_Input_Parameters'!B7/100</f>
        <v/>
      </c>
      <c r="D18" s="5">
        <f>'1_Input_Parameters'!B33*C8*'1_Input_Parameters'!B7/100</f>
        <v/>
      </c>
    </row>
    <row r="19">
      <c r="A19" s="5" t="inlineStr">
        <is>
          <t>Onsan</t>
        </is>
      </c>
      <c r="B19" s="5">
        <f>'1_Input_Parameters'!B31*C9*'1_Input_Parameters'!B7/100</f>
        <v/>
      </c>
      <c r="C19" s="5">
        <f>'1_Input_Parameters'!B32*C9*'1_Input_Parameters'!B7/100</f>
        <v/>
      </c>
      <c r="D19" s="5">
        <f>'1_Input_Parameters'!B33*C9*'1_Input_Parameters'!B7/100</f>
        <v/>
      </c>
    </row>
    <row r="20">
      <c r="A20" s="8" t="inlineStr">
        <is>
          <t>Total</t>
        </is>
      </c>
      <c r="B20" s="8">
        <f>SUM(B16:B19)</f>
        <v/>
      </c>
      <c r="C20" s="8">
        <f>SUM(C16:C19)</f>
        <v/>
      </c>
      <c r="D20" s="8">
        <f>SUM(D16:D19)</f>
        <v/>
      </c>
    </row>
    <row r="23">
      <c r="A23" s="3" t="inlineStr">
        <is>
          <t>VERIFICATION</t>
        </is>
      </c>
    </row>
    <row r="24">
      <c r="A24" t="inlineStr">
        <is>
          <t>Streamlit Shaheen Elec: 164.5 TWh</t>
        </is>
      </c>
    </row>
    <row r="25">
      <c r="A25" t="inlineStr">
        <is>
          <t>Excel Total (B20):</t>
        </is>
      </c>
      <c r="B25">
        <f>B20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5" customWidth="1" min="3" max="3"/>
    <col width="10" customWidth="1" min="4" max="4"/>
    <col width="12" customWidth="1" min="5" max="5"/>
    <col width="8" customWidth="1" min="6" max="6"/>
  </cols>
  <sheetData>
    <row r="1">
      <c r="A1" s="1" t="inlineStr">
        <is>
          <t>Naphtha Cracker Facilities (41 Total)</t>
        </is>
      </c>
    </row>
    <row r="3">
      <c r="A3" s="4" t="inlineStr">
        <is>
          <t>#</t>
        </is>
      </c>
      <c r="B3" s="4" t="inlineStr">
        <is>
          <t>Product</t>
        </is>
      </c>
      <c r="C3" s="4" t="inlineStr">
        <is>
          <t>Company</t>
        </is>
      </c>
      <c r="D3" s="4" t="inlineStr">
        <is>
          <t>Location</t>
        </is>
      </c>
      <c r="E3" s="4" t="inlineStr">
        <is>
          <t>Capacity (kt)</t>
        </is>
      </c>
      <c r="F3" s="4" t="inlineStr">
        <is>
          <t>Year</t>
        </is>
      </c>
    </row>
    <row r="4">
      <c r="A4" s="5" t="n">
        <v>1</v>
      </c>
      <c r="B4" s="5" t="inlineStr">
        <is>
          <t>Ethylene</t>
        </is>
      </c>
      <c r="C4" s="5" t="inlineStr">
        <is>
          <t>Lotte Chemical</t>
        </is>
      </c>
      <c r="D4" s="5" t="inlineStr">
        <is>
          <t>Daesan</t>
        </is>
      </c>
      <c r="E4" s="5" t="n">
        <v>1100</v>
      </c>
      <c r="F4" s="5" t="n">
        <v>1991</v>
      </c>
    </row>
    <row r="5">
      <c r="A5" s="5" t="n">
        <v>2</v>
      </c>
      <c r="B5" s="5" t="inlineStr">
        <is>
          <t>Ethylene</t>
        </is>
      </c>
      <c r="C5" s="5" t="inlineStr">
        <is>
          <t>HD Hyundai Chemical</t>
        </is>
      </c>
      <c r="D5" s="5" t="inlineStr">
        <is>
          <t>Daesan</t>
        </is>
      </c>
      <c r="E5" s="5" t="n">
        <v>850</v>
      </c>
      <c r="F5" s="5" t="n">
        <v>2021</v>
      </c>
    </row>
    <row r="6">
      <c r="A6" s="5" t="n">
        <v>3</v>
      </c>
      <c r="B6" s="5" t="inlineStr">
        <is>
          <t>Ethylene</t>
        </is>
      </c>
      <c r="C6" s="5" t="inlineStr">
        <is>
          <t>LG Chem</t>
        </is>
      </c>
      <c r="D6" s="5" t="inlineStr">
        <is>
          <t>Daesan</t>
        </is>
      </c>
      <c r="E6" s="5" t="n">
        <v>1300</v>
      </c>
      <c r="F6" s="5" t="n">
        <v>1991</v>
      </c>
    </row>
    <row r="7">
      <c r="A7" s="5" t="n">
        <v>4</v>
      </c>
      <c r="B7" s="5" t="inlineStr">
        <is>
          <t>Ethylene</t>
        </is>
      </c>
      <c r="C7" s="5" t="inlineStr">
        <is>
          <t>Hanwha TotalEnergies</t>
        </is>
      </c>
      <c r="D7" s="5" t="inlineStr">
        <is>
          <t>Daesan</t>
        </is>
      </c>
      <c r="E7" s="5" t="n">
        <v>1525</v>
      </c>
      <c r="F7" s="5" t="n">
        <v>1991</v>
      </c>
    </row>
    <row r="8">
      <c r="A8" s="5" t="n">
        <v>5</v>
      </c>
      <c r="B8" s="5" t="inlineStr">
        <is>
          <t>Ethylene</t>
        </is>
      </c>
      <c r="C8" s="5" t="inlineStr">
        <is>
          <t>Lotte Chemical</t>
        </is>
      </c>
      <c r="D8" s="5" t="inlineStr">
        <is>
          <t>Yeosu</t>
        </is>
      </c>
      <c r="E8" s="5" t="n">
        <v>1230</v>
      </c>
      <c r="F8" s="5" t="n">
        <v>1992</v>
      </c>
    </row>
    <row r="9">
      <c r="A9" s="5" t="n">
        <v>6</v>
      </c>
      <c r="B9" s="5" t="inlineStr">
        <is>
          <t>Ethylene</t>
        </is>
      </c>
      <c r="C9" s="5" t="inlineStr">
        <is>
          <t>LG Chem</t>
        </is>
      </c>
      <c r="D9" s="5" t="inlineStr">
        <is>
          <t>Yeosu</t>
        </is>
      </c>
      <c r="E9" s="5" t="n">
        <v>1030</v>
      </c>
      <c r="F9" s="5" t="n">
        <v>2021</v>
      </c>
    </row>
    <row r="10">
      <c r="A10" s="5" t="n">
        <v>7</v>
      </c>
      <c r="B10" s="5" t="inlineStr">
        <is>
          <t>Ethylene</t>
        </is>
      </c>
      <c r="C10" s="5" t="inlineStr">
        <is>
          <t>Yeochon NCC</t>
        </is>
      </c>
      <c r="D10" s="5" t="inlineStr">
        <is>
          <t>Yeosu</t>
        </is>
      </c>
      <c r="E10" s="5" t="n">
        <v>2285</v>
      </c>
      <c r="F10" s="5" t="n">
        <v>1979</v>
      </c>
    </row>
    <row r="11">
      <c r="A11" s="5" t="n">
        <v>8</v>
      </c>
      <c r="B11" s="5" t="inlineStr">
        <is>
          <t>Ethylene</t>
        </is>
      </c>
      <c r="C11" s="5" t="inlineStr">
        <is>
          <t>GS Caltex</t>
        </is>
      </c>
      <c r="D11" s="5" t="inlineStr">
        <is>
          <t>Yeosu</t>
        </is>
      </c>
      <c r="E11" s="5" t="n">
        <v>900</v>
      </c>
      <c r="F11" s="5" t="n">
        <v>2021</v>
      </c>
    </row>
    <row r="12">
      <c r="A12" s="5" t="n">
        <v>9</v>
      </c>
      <c r="B12" s="5" t="inlineStr">
        <is>
          <t>Ethylene</t>
        </is>
      </c>
      <c r="C12" s="5" t="inlineStr">
        <is>
          <t>Daehan Oil Chemical</t>
        </is>
      </c>
      <c r="D12" s="5" t="inlineStr">
        <is>
          <t>Onsan</t>
        </is>
      </c>
      <c r="E12" s="5" t="n">
        <v>900</v>
      </c>
      <c r="F12" s="5" t="n">
        <v>1991</v>
      </c>
    </row>
    <row r="13">
      <c r="A13" s="5" t="n">
        <v>10</v>
      </c>
      <c r="B13" s="5" t="inlineStr">
        <is>
          <t>Ethylene</t>
        </is>
      </c>
      <c r="C13" s="5" t="inlineStr">
        <is>
          <t>S-Oil</t>
        </is>
      </c>
      <c r="D13" s="5" t="inlineStr">
        <is>
          <t>Onsan</t>
        </is>
      </c>
      <c r="E13" s="5" t="n">
        <v>182</v>
      </c>
      <c r="F13" s="5" t="n">
        <v>2018</v>
      </c>
    </row>
    <row r="14">
      <c r="A14" s="5" t="n">
        <v>11</v>
      </c>
      <c r="B14" s="5" t="inlineStr">
        <is>
          <t>Ethylene</t>
        </is>
      </c>
      <c r="C14" s="5" t="inlineStr">
        <is>
          <t>SK Geocentric</t>
        </is>
      </c>
      <c r="D14" s="5" t="inlineStr">
        <is>
          <t>Ulsan</t>
        </is>
      </c>
      <c r="E14" s="5" t="n">
        <v>660</v>
      </c>
      <c r="F14" s="5" t="n">
        <v>1989</v>
      </c>
    </row>
    <row r="15">
      <c r="A15" s="5" t="n">
        <v>12</v>
      </c>
      <c r="B15" s="5" t="inlineStr">
        <is>
          <t>Propylene</t>
        </is>
      </c>
      <c r="C15" s="5" t="inlineStr">
        <is>
          <t>Lotte Chemical</t>
        </is>
      </c>
      <c r="D15" s="5" t="inlineStr">
        <is>
          <t>Daesan</t>
        </is>
      </c>
      <c r="E15" s="5" t="n">
        <v>550</v>
      </c>
      <c r="F15" s="5" t="n">
        <v>1997</v>
      </c>
    </row>
    <row r="16">
      <c r="A16" s="5" t="n">
        <v>13</v>
      </c>
      <c r="B16" s="5" t="inlineStr">
        <is>
          <t>Propylene</t>
        </is>
      </c>
      <c r="C16" s="5" t="inlineStr">
        <is>
          <t>HDHyundai Oilbank</t>
        </is>
      </c>
      <c r="D16" s="5" t="inlineStr">
        <is>
          <t>Daesan</t>
        </is>
      </c>
      <c r="E16" s="5" t="n">
        <v>420</v>
      </c>
      <c r="F16" s="5" t="n">
        <v>2011</v>
      </c>
    </row>
    <row r="17">
      <c r="A17" s="5" t="n">
        <v>14</v>
      </c>
      <c r="B17" s="5" t="inlineStr">
        <is>
          <t>Propylene</t>
        </is>
      </c>
      <c r="C17" s="5" t="inlineStr">
        <is>
          <t>HD Hyundai Chemical</t>
        </is>
      </c>
      <c r="D17" s="5" t="inlineStr">
        <is>
          <t>Daesan</t>
        </is>
      </c>
      <c r="E17" s="5" t="n">
        <v>451</v>
      </c>
      <c r="F17" s="5" t="n">
        <v>2021</v>
      </c>
    </row>
    <row r="18">
      <c r="A18" s="5" t="n">
        <v>15</v>
      </c>
      <c r="B18" s="5" t="inlineStr">
        <is>
          <t>Propylene</t>
        </is>
      </c>
      <c r="C18" s="5" t="inlineStr">
        <is>
          <t>LG Chem</t>
        </is>
      </c>
      <c r="D18" s="5" t="inlineStr">
        <is>
          <t>Daesan</t>
        </is>
      </c>
      <c r="E18" s="5" t="n">
        <v>680</v>
      </c>
      <c r="F18" s="5" t="n">
        <v>1991</v>
      </c>
    </row>
    <row r="19">
      <c r="A19" s="5" t="n">
        <v>16</v>
      </c>
      <c r="B19" s="5" t="inlineStr">
        <is>
          <t>Propylene</t>
        </is>
      </c>
      <c r="C19" s="5" t="inlineStr">
        <is>
          <t>Hanwha TotalEnergies</t>
        </is>
      </c>
      <c r="D19" s="5" t="inlineStr">
        <is>
          <t>Daesan</t>
        </is>
      </c>
      <c r="E19" s="5" t="n">
        <v>1064</v>
      </c>
      <c r="F19" s="5" t="n">
        <v>1991</v>
      </c>
    </row>
    <row r="20">
      <c r="A20" s="5" t="n">
        <v>17</v>
      </c>
      <c r="B20" s="5" t="inlineStr">
        <is>
          <t>Propylene</t>
        </is>
      </c>
      <c r="C20" s="5" t="inlineStr">
        <is>
          <t>Lotte Chemical</t>
        </is>
      </c>
      <c r="D20" s="5" t="inlineStr">
        <is>
          <t>Yeosu</t>
        </is>
      </c>
      <c r="E20" s="5" t="n">
        <v>641</v>
      </c>
      <c r="F20" s="5" t="n">
        <v>1992</v>
      </c>
    </row>
    <row r="21">
      <c r="A21" s="5" t="n">
        <v>18</v>
      </c>
      <c r="B21" s="5" t="inlineStr">
        <is>
          <t>Propylene</t>
        </is>
      </c>
      <c r="C21" s="5" t="inlineStr">
        <is>
          <t>LG Chem</t>
        </is>
      </c>
      <c r="D21" s="5" t="inlineStr">
        <is>
          <t>Yeosu</t>
        </is>
      </c>
      <c r="E21" s="5" t="n">
        <v>1300</v>
      </c>
      <c r="F21" s="5" t="n">
        <v>2021</v>
      </c>
    </row>
    <row r="22">
      <c r="A22" s="5" t="n">
        <v>19</v>
      </c>
      <c r="B22" s="5" t="inlineStr">
        <is>
          <t>Propylene</t>
        </is>
      </c>
      <c r="C22" s="5" t="inlineStr">
        <is>
          <t>Yeochon NCC</t>
        </is>
      </c>
      <c r="D22" s="5" t="inlineStr">
        <is>
          <t>Yeosu</t>
        </is>
      </c>
      <c r="E22" s="5" t="n">
        <v>1289</v>
      </c>
      <c r="F22" s="5" t="n">
        <v>1979</v>
      </c>
    </row>
    <row r="23">
      <c r="A23" s="5" t="n">
        <v>20</v>
      </c>
      <c r="B23" s="5" t="inlineStr">
        <is>
          <t>Propylene</t>
        </is>
      </c>
      <c r="C23" s="5" t="inlineStr">
        <is>
          <t>GS Caltex</t>
        </is>
      </c>
      <c r="D23" s="5" t="inlineStr">
        <is>
          <t>Yeosu</t>
        </is>
      </c>
      <c r="E23" s="5" t="n">
        <v>970</v>
      </c>
      <c r="F23" s="5" t="n">
        <v>2021</v>
      </c>
    </row>
    <row r="24">
      <c r="A24" s="5" t="n">
        <v>21</v>
      </c>
      <c r="B24" s="5" t="inlineStr">
        <is>
          <t>Propylene</t>
        </is>
      </c>
      <c r="C24" s="5" t="inlineStr">
        <is>
          <t>Daehan Oil Chemical</t>
        </is>
      </c>
      <c r="D24" s="5" t="inlineStr">
        <is>
          <t>Onsan</t>
        </is>
      </c>
      <c r="E24" s="5" t="n">
        <v>560</v>
      </c>
      <c r="F24" s="5" t="n">
        <v>1991</v>
      </c>
    </row>
    <row r="25">
      <c r="A25" s="5" t="n">
        <v>22</v>
      </c>
      <c r="B25" s="5" t="inlineStr">
        <is>
          <t>Propylene</t>
        </is>
      </c>
      <c r="C25" s="5" t="inlineStr">
        <is>
          <t>S-Oil</t>
        </is>
      </c>
      <c r="D25" s="5" t="inlineStr">
        <is>
          <t>Onsan</t>
        </is>
      </c>
      <c r="E25" s="5" t="n">
        <v>840</v>
      </c>
      <c r="F25" s="5" t="n">
        <v>2018</v>
      </c>
    </row>
    <row r="26">
      <c r="A26" s="5" t="n">
        <v>23</v>
      </c>
      <c r="B26" s="5" t="inlineStr">
        <is>
          <t>Propylene</t>
        </is>
      </c>
      <c r="C26" s="5" t="inlineStr">
        <is>
          <t>SK Advanced</t>
        </is>
      </c>
      <c r="D26" s="5" t="inlineStr">
        <is>
          <t>Ulsan</t>
        </is>
      </c>
      <c r="E26" s="5" t="n">
        <v>600</v>
      </c>
      <c r="F26" s="5" t="n">
        <v>2016</v>
      </c>
    </row>
    <row r="27">
      <c r="A27" s="5" t="n">
        <v>24</v>
      </c>
      <c r="B27" s="5" t="inlineStr">
        <is>
          <t>Propylene</t>
        </is>
      </c>
      <c r="C27" s="5" t="inlineStr">
        <is>
          <t>SK Energy</t>
        </is>
      </c>
      <c r="D27" s="5" t="inlineStr">
        <is>
          <t>Ulsan</t>
        </is>
      </c>
      <c r="E27" s="5" t="n">
        <v>620</v>
      </c>
      <c r="F27" s="5" t="n">
        <v>1996</v>
      </c>
    </row>
    <row r="28">
      <c r="A28" s="5" t="n">
        <v>25</v>
      </c>
      <c r="B28" s="5" t="inlineStr">
        <is>
          <t>Propylene</t>
        </is>
      </c>
      <c r="C28" s="5" t="inlineStr">
        <is>
          <t>SK Geocentric</t>
        </is>
      </c>
      <c r="D28" s="5" t="inlineStr">
        <is>
          <t>Ulsan</t>
        </is>
      </c>
      <c r="E28" s="5" t="n">
        <v>380</v>
      </c>
      <c r="F28" s="5" t="n">
        <v>1989</v>
      </c>
    </row>
    <row r="29">
      <c r="A29" s="5" t="n">
        <v>26</v>
      </c>
      <c r="B29" s="5" t="inlineStr">
        <is>
          <t>Propylene</t>
        </is>
      </c>
      <c r="C29" s="5" t="inlineStr">
        <is>
          <t>Taekwang Industrial</t>
        </is>
      </c>
      <c r="D29" s="5" t="inlineStr">
        <is>
          <t>Ulsan</t>
        </is>
      </c>
      <c r="E29" s="5" t="n">
        <v>300</v>
      </c>
      <c r="F29" s="5" t="n">
        <v>1997</v>
      </c>
    </row>
    <row r="30">
      <c r="A30" s="5" t="n">
        <v>27</v>
      </c>
      <c r="B30" s="5" t="inlineStr">
        <is>
          <t>Propylene</t>
        </is>
      </c>
      <c r="C30" s="5" t="inlineStr">
        <is>
          <t>Hyosung Chemical</t>
        </is>
      </c>
      <c r="D30" s="5" t="inlineStr">
        <is>
          <t>Ulsan</t>
        </is>
      </c>
      <c r="E30" s="5" t="n">
        <v>500</v>
      </c>
      <c r="F30" s="5" t="n">
        <v>1991</v>
      </c>
    </row>
    <row r="31">
      <c r="A31" s="5" t="n">
        <v>28</v>
      </c>
      <c r="B31" s="5" t="inlineStr">
        <is>
          <t>Butadiene</t>
        </is>
      </c>
      <c r="C31" s="5" t="inlineStr">
        <is>
          <t>Lotte Chemical</t>
        </is>
      </c>
      <c r="D31" s="5" t="inlineStr">
        <is>
          <t>Daesan</t>
        </is>
      </c>
      <c r="E31" s="5" t="n">
        <v>190</v>
      </c>
      <c r="F31" s="5" t="n">
        <v>1997</v>
      </c>
    </row>
    <row r="32">
      <c r="A32" s="5" t="n">
        <v>29</v>
      </c>
      <c r="B32" s="5" t="inlineStr">
        <is>
          <t>Butadiene</t>
        </is>
      </c>
      <c r="C32" s="5" t="inlineStr">
        <is>
          <t>HD Hyundai Chemical</t>
        </is>
      </c>
      <c r="D32" s="5" t="inlineStr">
        <is>
          <t>Daesan</t>
        </is>
      </c>
      <c r="E32" s="5" t="n">
        <v>163</v>
      </c>
      <c r="F32" s="5" t="n">
        <v>2021</v>
      </c>
    </row>
    <row r="33">
      <c r="A33" s="5" t="n">
        <v>30</v>
      </c>
      <c r="B33" s="5" t="inlineStr">
        <is>
          <t>Butadiene</t>
        </is>
      </c>
      <c r="C33" s="5" t="inlineStr">
        <is>
          <t>LG Chem</t>
        </is>
      </c>
      <c r="D33" s="5" t="inlineStr">
        <is>
          <t>Daesan</t>
        </is>
      </c>
      <c r="E33" s="5" t="n">
        <v>200</v>
      </c>
      <c r="F33" s="5" t="n">
        <v>1991</v>
      </c>
    </row>
    <row r="34">
      <c r="A34" s="5" t="n">
        <v>31</v>
      </c>
      <c r="B34" s="5" t="inlineStr">
        <is>
          <t>Butadiene</t>
        </is>
      </c>
      <c r="C34" s="5" t="inlineStr">
        <is>
          <t>Hanwha TotalEnergies</t>
        </is>
      </c>
      <c r="D34" s="5" t="inlineStr">
        <is>
          <t>Daesan</t>
        </is>
      </c>
      <c r="E34" s="5" t="n">
        <v>150</v>
      </c>
      <c r="F34" s="5" t="n">
        <v>1991</v>
      </c>
    </row>
    <row r="35">
      <c r="A35" s="5" t="n">
        <v>32</v>
      </c>
      <c r="B35" s="5" t="inlineStr">
        <is>
          <t>Butadiene</t>
        </is>
      </c>
      <c r="C35" s="5" t="inlineStr">
        <is>
          <t>Kumho Petrochemical</t>
        </is>
      </c>
      <c r="D35" s="5" t="inlineStr">
        <is>
          <t>Yeosu</t>
        </is>
      </c>
      <c r="E35" s="5" t="n">
        <v>147</v>
      </c>
      <c r="F35" s="5" t="n">
        <v>1992</v>
      </c>
    </row>
    <row r="36">
      <c r="A36" s="5" t="n">
        <v>33</v>
      </c>
      <c r="B36" s="5" t="inlineStr">
        <is>
          <t>Butadiene</t>
        </is>
      </c>
      <c r="C36" s="5" t="inlineStr">
        <is>
          <t>Lotte GS Chemical</t>
        </is>
      </c>
      <c r="D36" s="5" t="inlineStr">
        <is>
          <t>Yeosu</t>
        </is>
      </c>
      <c r="E36" s="5" t="n">
        <v>130</v>
      </c>
      <c r="F36" s="5" t="n">
        <v>2022</v>
      </c>
    </row>
    <row r="37">
      <c r="A37" s="5" t="n">
        <v>34</v>
      </c>
      <c r="B37" s="5" t="inlineStr">
        <is>
          <t>Butadiene</t>
        </is>
      </c>
      <c r="C37" s="5" t="inlineStr">
        <is>
          <t>Lotte Chemical</t>
        </is>
      </c>
      <c r="D37" s="5" t="inlineStr">
        <is>
          <t>Yeosu</t>
        </is>
      </c>
      <c r="E37" s="5" t="n">
        <v>160</v>
      </c>
      <c r="F37" s="5" t="n">
        <v>2011</v>
      </c>
    </row>
    <row r="38">
      <c r="A38" s="5" t="n">
        <v>35</v>
      </c>
      <c r="B38" s="5" t="inlineStr">
        <is>
          <t>Butadiene</t>
        </is>
      </c>
      <c r="C38" s="5" t="inlineStr">
        <is>
          <t>LG Chem</t>
        </is>
      </c>
      <c r="D38" s="5" t="inlineStr">
        <is>
          <t>Yeosu</t>
        </is>
      </c>
      <c r="E38" s="5" t="n">
        <v>306</v>
      </c>
      <c r="F38" s="5" t="n">
        <v>1991</v>
      </c>
    </row>
    <row r="39">
      <c r="A39" s="5" t="n">
        <v>36</v>
      </c>
      <c r="B39" s="5" t="inlineStr">
        <is>
          <t>Butadiene</t>
        </is>
      </c>
      <c r="C39" s="5" t="inlineStr">
        <is>
          <t>Yeochon NCC</t>
        </is>
      </c>
      <c r="D39" s="5" t="inlineStr">
        <is>
          <t>Yeosu</t>
        </is>
      </c>
      <c r="E39" s="5" t="n">
        <v>378</v>
      </c>
      <c r="F39" s="5" t="n">
        <v>1992</v>
      </c>
    </row>
    <row r="40">
      <c r="A40" s="5" t="n">
        <v>37</v>
      </c>
      <c r="B40" s="5" t="inlineStr">
        <is>
          <t>Butadiene</t>
        </is>
      </c>
      <c r="C40" s="5" t="inlineStr">
        <is>
          <t>Kumho Petrochemical</t>
        </is>
      </c>
      <c r="D40" s="5" t="inlineStr">
        <is>
          <t>Ulsan</t>
        </is>
      </c>
      <c r="E40" s="5" t="n">
        <v>90</v>
      </c>
      <c r="F40" s="5" t="n">
        <v>1979</v>
      </c>
    </row>
    <row r="41">
      <c r="A41" s="5" t="n">
        <v>38</v>
      </c>
      <c r="B41" s="5" t="inlineStr">
        <is>
          <t>Butadiene</t>
        </is>
      </c>
      <c r="C41" s="5" t="inlineStr">
        <is>
          <t>Daehan Oil Chemical</t>
        </is>
      </c>
      <c r="D41" s="5" t="inlineStr">
        <is>
          <t>Ulsan</t>
        </is>
      </c>
      <c r="E41" s="5" t="n">
        <v>146</v>
      </c>
      <c r="F41" s="5" t="n">
        <v>2023</v>
      </c>
    </row>
    <row r="42">
      <c r="A42" s="5" t="n">
        <v>39</v>
      </c>
      <c r="B42" s="5" t="inlineStr">
        <is>
          <t>Butadiene</t>
        </is>
      </c>
      <c r="C42" s="5" t="inlineStr">
        <is>
          <t>SK Geocentric</t>
        </is>
      </c>
      <c r="D42" s="5" t="inlineStr">
        <is>
          <t>Ulsan</t>
        </is>
      </c>
      <c r="E42" s="5" t="n">
        <v>130</v>
      </c>
      <c r="F42" s="5" t="n">
        <v>1989</v>
      </c>
    </row>
    <row r="43">
      <c r="A43" s="5" t="n">
        <v>40</v>
      </c>
      <c r="B43" s="5" t="inlineStr">
        <is>
          <t>C-H</t>
        </is>
      </c>
      <c r="C43" s="5" t="inlineStr">
        <is>
          <t>SK Geocentric</t>
        </is>
      </c>
      <c r="D43" s="5" t="inlineStr">
        <is>
          <t>Ulsan</t>
        </is>
      </c>
      <c r="E43" s="5" t="n">
        <v>160</v>
      </c>
      <c r="F43" s="5" t="n">
        <v>1974</v>
      </c>
    </row>
    <row r="44">
      <c r="A44" s="5" t="n">
        <v>41</v>
      </c>
      <c r="B44" s="5" t="inlineStr">
        <is>
          <t>C-H</t>
        </is>
      </c>
      <c r="C44" s="5" t="inlineStr">
        <is>
          <t>Caprolactam</t>
        </is>
      </c>
      <c r="D44" s="5" t="inlineStr">
        <is>
          <t>Ulsan</t>
        </is>
      </c>
      <c r="E44" s="5" t="n">
        <v>190</v>
      </c>
      <c r="F44" s="5" t="n">
        <v>2000</v>
      </c>
    </row>
    <row r="45">
      <c r="A45" s="8" t="inlineStr">
        <is>
          <t>TOTAL</t>
        </is>
      </c>
      <c r="B45" s="8" t="n"/>
      <c r="C45" s="8" t="n"/>
      <c r="D45" s="8" t="n"/>
      <c r="E45" s="8">
        <f>SUM(E4:E44)</f>
        <v/>
      </c>
      <c r="F45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12" customWidth="1" min="4" max="4"/>
    <col width="8" customWidth="1" min="5" max="5"/>
  </cols>
  <sheetData>
    <row r="1">
      <c r="A1" s="1" t="inlineStr">
        <is>
          <t>Ethylene Production Facilities (11 Total)</t>
        </is>
      </c>
    </row>
    <row r="3">
      <c r="A3" s="4" t="inlineStr">
        <is>
          <t>#</t>
        </is>
      </c>
      <c r="B3" s="4" t="inlineStr">
        <is>
          <t>Company</t>
        </is>
      </c>
      <c r="C3" s="4" t="inlineStr">
        <is>
          <t>Location</t>
        </is>
      </c>
      <c r="D3" s="4" t="inlineStr">
        <is>
          <t>Capacity (kt)</t>
        </is>
      </c>
      <c r="E3" s="4" t="inlineStr">
        <is>
          <t>Year</t>
        </is>
      </c>
    </row>
    <row r="4">
      <c r="A4" s="5" t="n">
        <v>1</v>
      </c>
      <c r="B4" s="5" t="inlineStr">
        <is>
          <t>Lotte Chemical</t>
        </is>
      </c>
      <c r="C4" s="5" t="inlineStr">
        <is>
          <t>Daesan</t>
        </is>
      </c>
      <c r="D4" s="5" t="n">
        <v>1100</v>
      </c>
      <c r="E4" s="5" t="n">
        <v>1991</v>
      </c>
    </row>
    <row r="5">
      <c r="A5" s="5" t="n">
        <v>2</v>
      </c>
      <c r="B5" s="5" t="inlineStr">
        <is>
          <t>HD Hyundai Chemical</t>
        </is>
      </c>
      <c r="C5" s="5" t="inlineStr">
        <is>
          <t>Daesan</t>
        </is>
      </c>
      <c r="D5" s="5" t="n">
        <v>850</v>
      </c>
      <c r="E5" s="5" t="n">
        <v>2021</v>
      </c>
    </row>
    <row r="6">
      <c r="A6" s="5" t="n">
        <v>3</v>
      </c>
      <c r="B6" s="5" t="inlineStr">
        <is>
          <t>LG Chem</t>
        </is>
      </c>
      <c r="C6" s="5" t="inlineStr">
        <is>
          <t>Daesan</t>
        </is>
      </c>
      <c r="D6" s="5" t="n">
        <v>1300</v>
      </c>
      <c r="E6" s="5" t="n">
        <v>1991</v>
      </c>
    </row>
    <row r="7">
      <c r="A7" s="5" t="n">
        <v>4</v>
      </c>
      <c r="B7" s="5" t="inlineStr">
        <is>
          <t>Hanwha TotalEnergies</t>
        </is>
      </c>
      <c r="C7" s="5" t="inlineStr">
        <is>
          <t>Daesan</t>
        </is>
      </c>
      <c r="D7" s="5" t="n">
        <v>1525</v>
      </c>
      <c r="E7" s="5" t="n">
        <v>1991</v>
      </c>
    </row>
    <row r="8">
      <c r="A8" s="5" t="n">
        <v>5</v>
      </c>
      <c r="B8" s="5" t="inlineStr">
        <is>
          <t>Lotte Chemical</t>
        </is>
      </c>
      <c r="C8" s="5" t="inlineStr">
        <is>
          <t>Yeosu</t>
        </is>
      </c>
      <c r="D8" s="5" t="n">
        <v>1230</v>
      </c>
      <c r="E8" s="5" t="n">
        <v>1992</v>
      </c>
    </row>
    <row r="9">
      <c r="A9" s="5" t="n">
        <v>6</v>
      </c>
      <c r="B9" s="5" t="inlineStr">
        <is>
          <t>LG Chem</t>
        </is>
      </c>
      <c r="C9" s="5" t="inlineStr">
        <is>
          <t>Yeosu</t>
        </is>
      </c>
      <c r="D9" s="5" t="n">
        <v>1030</v>
      </c>
      <c r="E9" s="5" t="n">
        <v>2021</v>
      </c>
    </row>
    <row r="10">
      <c r="A10" s="5" t="n">
        <v>7</v>
      </c>
      <c r="B10" s="5" t="inlineStr">
        <is>
          <t>Yeochon NCC</t>
        </is>
      </c>
      <c r="C10" s="5" t="inlineStr">
        <is>
          <t>Yeosu</t>
        </is>
      </c>
      <c r="D10" s="5" t="n">
        <v>2285</v>
      </c>
      <c r="E10" s="5" t="n">
        <v>1979</v>
      </c>
    </row>
    <row r="11">
      <c r="A11" s="5" t="n">
        <v>8</v>
      </c>
      <c r="B11" s="5" t="inlineStr">
        <is>
          <t>GS Caltex</t>
        </is>
      </c>
      <c r="C11" s="5" t="inlineStr">
        <is>
          <t>Yeosu</t>
        </is>
      </c>
      <c r="D11" s="5" t="n">
        <v>900</v>
      </c>
      <c r="E11" s="5" t="n">
        <v>2021</v>
      </c>
    </row>
    <row r="12">
      <c r="A12" s="5" t="n">
        <v>9</v>
      </c>
      <c r="B12" s="5" t="inlineStr">
        <is>
          <t>Daehan Oil Chemical</t>
        </is>
      </c>
      <c r="C12" s="5" t="inlineStr">
        <is>
          <t>Onsan</t>
        </is>
      </c>
      <c r="D12" s="5" t="n">
        <v>900</v>
      </c>
      <c r="E12" s="5" t="n">
        <v>1991</v>
      </c>
    </row>
    <row r="13">
      <c r="A13" s="5" t="n">
        <v>10</v>
      </c>
      <c r="B13" s="5" t="inlineStr">
        <is>
          <t>S-Oil</t>
        </is>
      </c>
      <c r="C13" s="5" t="inlineStr">
        <is>
          <t>Onsan</t>
        </is>
      </c>
      <c r="D13" s="5" t="n">
        <v>182</v>
      </c>
      <c r="E13" s="5" t="n">
        <v>2018</v>
      </c>
    </row>
    <row r="14">
      <c r="A14" s="5" t="n">
        <v>11</v>
      </c>
      <c r="B14" s="5" t="inlineStr">
        <is>
          <t>SK Geocentric</t>
        </is>
      </c>
      <c r="C14" s="5" t="inlineStr">
        <is>
          <t>Ulsan</t>
        </is>
      </c>
      <c r="D14" s="5" t="n">
        <v>660</v>
      </c>
      <c r="E14" s="5" t="n">
        <v>1989</v>
      </c>
    </row>
    <row r="15">
      <c r="A15" s="8" t="inlineStr">
        <is>
          <t>TOTAL</t>
        </is>
      </c>
      <c r="B15" s="8" t="n"/>
      <c r="C15" s="8" t="n"/>
      <c r="D15" s="8">
        <f>SUM(D4:D14)</f>
        <v/>
      </c>
      <c r="E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2025-11-27T08:15:37Z</dcterms:created>
  <dcterms:modified xmlns:dcterms="http://purl.org/dc/terms/" xmlns:xsi="http://www.w3.org/2001/XMLSchema-instance" xsi:type="dcterms:W3CDTF">2025-11-27T08:15:37Z</dcterms:modified>
</cp:coreProperties>
</file>