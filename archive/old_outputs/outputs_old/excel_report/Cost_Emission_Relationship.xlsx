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Cost_Emission" sheetId="1" state="visible" r:id="rId1"/>
    <sheet xmlns:r="http://schemas.openxmlformats.org/officeDocument/2006/relationships" name="Cumulative_Curve" sheetId="2" state="visible" r:id="rId2"/>
    <sheet xmlns:r="http://schemas.openxmlformats.org/officeDocument/2006/relationships" name="MACC_Data" sheetId="3" state="visible" r:id="rId3"/>
    <sheet xmlns:r="http://schemas.openxmlformats.org/officeDocument/2006/relationships" name="Cost_Functions" sheetId="4" state="visible" r:id="rId4"/>
    <sheet xmlns:r="http://schemas.openxmlformats.org/officeDocument/2006/relationships" name="Scenario_Comparison" sheetId="5" state="visible" r:id="rId5"/>
    <sheet xmlns:r="http://schemas.openxmlformats.org/officeDocument/2006/relationships" name="Tech_Deployment_Cost" sheetId="6" state="visible" r:id="rId6"/>
    <sheet xmlns:r="http://schemas.openxmlformats.org/officeDocument/2006/relationships" name="Price_Impact" sheetId="7" state="visible" r:id="rId7"/>
    <sheet xmlns:r="http://schemas.openxmlformats.org/officeDocument/2006/relationships" name="Sensitivity_Analysis" sheetId="8" state="visible" r:id="rId8"/>
    <sheet xmlns:r="http://schemas.openxmlformats.org/officeDocument/2006/relationships" name="Cost_References" sheetId="9" state="visible" r:id="rId9"/>
    <sheet xmlns:r="http://schemas.openxmlformats.org/officeDocument/2006/relationships" name="Cost_Methodology" sheetId="10" state="visible" r:id="rId10"/>
    <sheet xmlns:r="http://schemas.openxmlformats.org/officeDocument/2006/relationships" name="Literature_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Baseline_Emissions_MtCO2</t>
        </is>
      </c>
      <c r="C1" s="1" t="inlineStr">
        <is>
          <t>Elec_Final_Emissions_MtCO2</t>
        </is>
      </c>
      <c r="D1" s="1" t="inlineStr">
        <is>
          <t>Elec_Emission_Reduction_MtCO2</t>
        </is>
      </c>
      <c r="E1" s="1" t="inlineStr">
        <is>
          <t>Elec_Reduction_Pct</t>
        </is>
      </c>
      <c r="F1" s="1" t="inlineStr">
        <is>
          <t>Elec_Annual_Cost_MUSD</t>
        </is>
      </c>
      <c r="G1" s="1" t="inlineStr">
        <is>
          <t>Elec_Cumulative_Cost_MUSD</t>
        </is>
      </c>
      <c r="H1" s="1" t="inlineStr">
        <is>
          <t>Elec_CAPEX_MUSD</t>
        </is>
      </c>
      <c r="I1" s="1" t="inlineStr">
        <is>
          <t>Elec_OPEX_MUSD</t>
        </is>
      </c>
      <c r="J1" s="1" t="inlineStr">
        <is>
          <t>Elec_Fuel_Cost_MUSD</t>
        </is>
      </c>
      <c r="K1" s="1" t="inlineStr">
        <is>
          <t>H2_Final_Emissions_MtCO2</t>
        </is>
      </c>
      <c r="L1" s="1" t="inlineStr">
        <is>
          <t>H2_Emission_Reduction_MtCO2</t>
        </is>
      </c>
      <c r="M1" s="1" t="inlineStr">
        <is>
          <t>H2_Reduction_Pct</t>
        </is>
      </c>
      <c r="N1" s="1" t="inlineStr">
        <is>
          <t>H2_Annual_Cost_MUSD</t>
        </is>
      </c>
      <c r="O1" s="1" t="inlineStr">
        <is>
          <t>H2_Cumulative_Cost_MUSD</t>
        </is>
      </c>
      <c r="P1" s="1" t="inlineStr">
        <is>
          <t>H2_CAPEX_MUSD</t>
        </is>
      </c>
      <c r="Q1" s="1" t="inlineStr">
        <is>
          <t>H2_OPEX_MUSD</t>
        </is>
      </c>
      <c r="R1" s="1" t="inlineStr">
        <is>
          <t>H2_Fuel_Cost_MUSD</t>
        </is>
      </c>
      <c r="S1" s="1" t="inlineStr">
        <is>
          <t>Elec_MAC_USD_per_tCO2</t>
        </is>
      </c>
      <c r="T1" s="1" t="inlineStr">
        <is>
          <t>H2_MAC_USD_per_tCO2</t>
        </is>
      </c>
    </row>
    <row r="2">
      <c r="A2" t="n">
        <v>2025</v>
      </c>
      <c r="B2" t="n">
        <v>52</v>
      </c>
      <c r="C2" t="n">
        <v>52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2026</v>
      </c>
      <c r="B3" t="n">
        <v>52</v>
      </c>
      <c r="C3" t="n">
        <v>49.51032963202791</v>
      </c>
      <c r="D3" t="n">
        <v>2.489670367972089</v>
      </c>
      <c r="E3" t="n">
        <v>4.787827630715555</v>
      </c>
      <c r="F3" t="n">
        <v>136.9466227362222</v>
      </c>
      <c r="G3" t="n">
        <v>136.9466227362222</v>
      </c>
      <c r="H3" t="n">
        <v>23.93499715611548</v>
      </c>
      <c r="I3" t="n">
        <v>14.36099829366929</v>
      </c>
      <c r="J3" t="n">
        <v>98.6506272864374</v>
      </c>
      <c r="K3" t="n">
        <v>49.51032963202791</v>
      </c>
      <c r="L3" t="n">
        <v>2.489670367972089</v>
      </c>
      <c r="M3" t="n">
        <v>4.787827630715555</v>
      </c>
      <c r="N3" t="n">
        <v>136.9466227362222</v>
      </c>
      <c r="O3" t="n">
        <v>136.9466227362222</v>
      </c>
      <c r="P3" t="n">
        <v>23.93499715611548</v>
      </c>
      <c r="Q3" t="n">
        <v>14.36099829366929</v>
      </c>
      <c r="R3" t="n">
        <v>98.6506272864374</v>
      </c>
      <c r="S3" t="n">
        <v>55.00592548232373</v>
      </c>
      <c r="T3" t="n">
        <v>55.00592548232373</v>
      </c>
    </row>
    <row r="4">
      <c r="A4" t="n">
        <v>2027</v>
      </c>
      <c r="B4" t="n">
        <v>52</v>
      </c>
      <c r="C4" t="n">
        <v>47.02065926405582</v>
      </c>
      <c r="D4" t="n">
        <v>4.979340735944177</v>
      </c>
      <c r="E4" t="n">
        <v>9.575655261431109</v>
      </c>
      <c r="F4" t="n">
        <v>277.6491397919884</v>
      </c>
      <c r="G4" t="n">
        <v>414.5957625282106</v>
      </c>
      <c r="H4" t="n">
        <v>45.87541121588801</v>
      </c>
      <c r="I4" t="n">
        <v>27.5252467295328</v>
      </c>
      <c r="J4" t="n">
        <v>204.2484818465676</v>
      </c>
      <c r="K4" t="n">
        <v>47.02065926405582</v>
      </c>
      <c r="L4" t="n">
        <v>4.979340735944177</v>
      </c>
      <c r="M4" t="n">
        <v>9.575655261431109</v>
      </c>
      <c r="N4" t="n">
        <v>277.6491397919884</v>
      </c>
      <c r="O4" t="n">
        <v>414.5957625282106</v>
      </c>
      <c r="P4" t="n">
        <v>45.87541121588801</v>
      </c>
      <c r="Q4" t="n">
        <v>27.5252467295328</v>
      </c>
      <c r="R4" t="n">
        <v>204.2484818465676</v>
      </c>
      <c r="S4" t="n">
        <v>55.76022098422249</v>
      </c>
      <c r="T4" t="n">
        <v>55.76022098422249</v>
      </c>
    </row>
    <row r="5">
      <c r="A5" t="n">
        <v>2028</v>
      </c>
      <c r="B5" t="n">
        <v>52</v>
      </c>
      <c r="C5" t="n">
        <v>44.53098889608372</v>
      </c>
      <c r="D5" t="n">
        <v>7.46901110391628</v>
      </c>
      <c r="E5" t="n">
        <v>14.36348289214669</v>
      </c>
      <c r="F5" t="n">
        <v>422.1361014163686</v>
      </c>
      <c r="G5" t="n">
        <v>836.7318639445791</v>
      </c>
      <c r="H5" t="n">
        <v>65.82124217931758</v>
      </c>
      <c r="I5" t="n">
        <v>39.49274530759055</v>
      </c>
      <c r="J5" t="n">
        <v>316.8221139294604</v>
      </c>
      <c r="K5" t="n">
        <v>44.53098889608372</v>
      </c>
      <c r="L5" t="n">
        <v>7.46901110391628</v>
      </c>
      <c r="M5" t="n">
        <v>14.36348289214669</v>
      </c>
      <c r="N5" t="n">
        <v>422.1361014163686</v>
      </c>
      <c r="O5" t="n">
        <v>836.7318639445791</v>
      </c>
      <c r="P5" t="n">
        <v>65.82124217931758</v>
      </c>
      <c r="Q5" t="n">
        <v>39.49274530759055</v>
      </c>
      <c r="R5" t="n">
        <v>316.8221139294604</v>
      </c>
      <c r="S5" t="n">
        <v>56.51833897997916</v>
      </c>
      <c r="T5" t="n">
        <v>56.51833897997916</v>
      </c>
    </row>
    <row r="6">
      <c r="A6" t="n">
        <v>2029</v>
      </c>
      <c r="B6" t="n">
        <v>52</v>
      </c>
      <c r="C6" t="n">
        <v>42.04131852811163</v>
      </c>
      <c r="D6" t="n">
        <v>9.958681471888369</v>
      </c>
      <c r="E6" t="n">
        <v>19.15131052286225</v>
      </c>
      <c r="F6" t="n">
        <v>570.3599238609129</v>
      </c>
      <c r="G6" t="n">
        <v>1407.091787805492</v>
      </c>
      <c r="H6" t="n">
        <v>83.7724900464042</v>
      </c>
      <c r="I6" t="n">
        <v>50.26349402784251</v>
      </c>
      <c r="J6" t="n">
        <v>436.3239397866662</v>
      </c>
      <c r="K6" t="n">
        <v>42.04131852811163</v>
      </c>
      <c r="L6" t="n">
        <v>9.958681471888369</v>
      </c>
      <c r="M6" t="n">
        <v>19.15131052286225</v>
      </c>
      <c r="N6" t="n">
        <v>570.3599238609129</v>
      </c>
      <c r="O6" t="n">
        <v>1407.091787805492</v>
      </c>
      <c r="P6" t="n">
        <v>83.7724900464042</v>
      </c>
      <c r="Q6" t="n">
        <v>50.26349402784251</v>
      </c>
      <c r="R6" t="n">
        <v>436.3239397866662</v>
      </c>
      <c r="S6" t="n">
        <v>57.27263448187796</v>
      </c>
      <c r="T6" t="n">
        <v>57.27263448187796</v>
      </c>
    </row>
    <row r="7">
      <c r="A7" t="n">
        <v>2030</v>
      </c>
      <c r="B7" t="n">
        <v>52</v>
      </c>
      <c r="C7" t="n">
        <v>45.63</v>
      </c>
      <c r="D7" t="n">
        <v>6.369999999999997</v>
      </c>
      <c r="E7" t="n">
        <v>12.25000000000001</v>
      </c>
      <c r="F7" t="n">
        <v>945.5867316922788</v>
      </c>
      <c r="G7" t="n">
        <v>2352.678519497771</v>
      </c>
      <c r="H7" t="n">
        <v>106.4923982813797</v>
      </c>
      <c r="I7" t="n">
        <v>71.37128747758112</v>
      </c>
      <c r="J7" t="n">
        <v>767.723045933318</v>
      </c>
      <c r="K7" t="n">
        <v>45.63</v>
      </c>
      <c r="L7" t="n">
        <v>6.369999999999997</v>
      </c>
      <c r="M7" t="n">
        <v>12.25000000000001</v>
      </c>
      <c r="N7" t="n">
        <v>1078.895523920855</v>
      </c>
      <c r="O7" t="n">
        <v>2485.987311726347</v>
      </c>
      <c r="P7" t="n">
        <v>105.8001900861248</v>
      </c>
      <c r="Q7" t="n">
        <v>70.67907928232617</v>
      </c>
      <c r="R7" t="n">
        <v>902.4162545524036</v>
      </c>
      <c r="S7" t="n">
        <v>148.4437569375635</v>
      </c>
      <c r="T7" t="n">
        <v>169.3713538337293</v>
      </c>
    </row>
    <row r="8">
      <c r="A8" t="n">
        <v>2031</v>
      </c>
      <c r="B8" t="n">
        <v>52</v>
      </c>
      <c r="C8" t="n">
        <v>44.35600000000001</v>
      </c>
      <c r="D8" t="n">
        <v>7.643999999999991</v>
      </c>
      <c r="E8" t="n">
        <v>14.69999999999998</v>
      </c>
      <c r="F8" t="n">
        <v>1527.437828286036</v>
      </c>
      <c r="G8" t="n">
        <v>3880.116347783807</v>
      </c>
      <c r="H8" t="n">
        <v>135.8982831347522</v>
      </c>
      <c r="I8" t="n">
        <v>101.6552001010486</v>
      </c>
      <c r="J8" t="n">
        <v>1289.884345050235</v>
      </c>
      <c r="K8" t="n">
        <v>44.35600000000001</v>
      </c>
      <c r="L8" t="n">
        <v>7.643999999999991</v>
      </c>
      <c r="M8" t="n">
        <v>14.69999999999998</v>
      </c>
      <c r="N8" t="n">
        <v>1830.964686166123</v>
      </c>
      <c r="O8" t="n">
        <v>4316.95199789247</v>
      </c>
      <c r="P8" t="n">
        <v>133.7456941055077</v>
      </c>
      <c r="Q8" t="n">
        <v>99.502611071804</v>
      </c>
      <c r="R8" t="n">
        <v>1597.716380988812</v>
      </c>
      <c r="S8" t="n">
        <v>199.8217985722184</v>
      </c>
      <c r="T8" t="n">
        <v>239.5296554377453</v>
      </c>
    </row>
    <row r="9">
      <c r="A9" t="n">
        <v>2032</v>
      </c>
      <c r="B9" t="n">
        <v>52</v>
      </c>
      <c r="C9" t="n">
        <v>43.08200000000001</v>
      </c>
      <c r="D9" t="n">
        <v>8.917999999999992</v>
      </c>
      <c r="E9" t="n">
        <v>17.14999999999998</v>
      </c>
      <c r="F9" t="n">
        <v>2146.534332191194</v>
      </c>
      <c r="G9" t="n">
        <v>6026.650679975</v>
      </c>
      <c r="H9" t="n">
        <v>163.848882570136</v>
      </c>
      <c r="I9" t="n">
        <v>130.4838273065273</v>
      </c>
      <c r="J9" t="n">
        <v>1852.201622314531</v>
      </c>
      <c r="K9" t="n">
        <v>43.08200000000001</v>
      </c>
      <c r="L9" t="n">
        <v>8.917999999999992</v>
      </c>
      <c r="M9" t="n">
        <v>17.14999999999998</v>
      </c>
      <c r="N9" t="n">
        <v>2537.673890736783</v>
      </c>
      <c r="O9" t="n">
        <v>6854.625888629253</v>
      </c>
      <c r="P9" t="n">
        <v>159.9206008663374</v>
      </c>
      <c r="Q9" t="n">
        <v>126.5555456027287</v>
      </c>
      <c r="R9" t="n">
        <v>2251.197744267718</v>
      </c>
      <c r="S9" t="n">
        <v>240.6968302524328</v>
      </c>
      <c r="T9" t="n">
        <v>284.5563905289061</v>
      </c>
    </row>
    <row r="10">
      <c r="A10" t="n">
        <v>2033</v>
      </c>
      <c r="B10" t="n">
        <v>52</v>
      </c>
      <c r="C10" t="n">
        <v>41.808</v>
      </c>
      <c r="D10" t="n">
        <v>10.192</v>
      </c>
      <c r="E10" t="n">
        <v>19.6</v>
      </c>
      <c r="F10" t="n">
        <v>2805.190591176348</v>
      </c>
      <c r="G10" t="n">
        <v>8831.841271151348</v>
      </c>
      <c r="H10" t="n">
        <v>190.3441965875303</v>
      </c>
      <c r="I10" t="n">
        <v>157.8571690940165</v>
      </c>
      <c r="J10" t="n">
        <v>2456.989225494801</v>
      </c>
      <c r="K10" t="n">
        <v>41.808</v>
      </c>
      <c r="L10" t="n">
        <v>10.192</v>
      </c>
      <c r="M10" t="n">
        <v>19.6</v>
      </c>
      <c r="N10" t="n">
        <v>3198.939350995661</v>
      </c>
      <c r="O10" t="n">
        <v>10053.56523962491</v>
      </c>
      <c r="P10" t="n">
        <v>184.3249103686133</v>
      </c>
      <c r="Q10" t="n">
        <v>151.8378828750996</v>
      </c>
      <c r="R10" t="n">
        <v>2862.776557751948</v>
      </c>
      <c r="S10" t="n">
        <v>275.2345556491707</v>
      </c>
      <c r="T10" t="n">
        <v>313.8676757256339</v>
      </c>
    </row>
    <row r="11">
      <c r="A11" t="n">
        <v>2034</v>
      </c>
      <c r="B11" t="n">
        <v>52</v>
      </c>
      <c r="C11" t="n">
        <v>40.534</v>
      </c>
      <c r="D11" t="n">
        <v>11.466</v>
      </c>
      <c r="E11" t="n">
        <v>22.05</v>
      </c>
      <c r="F11" t="n">
        <v>3506.016194501167</v>
      </c>
      <c r="G11" t="n">
        <v>12337.85746565252</v>
      </c>
      <c r="H11" t="n">
        <v>215.3842251869355</v>
      </c>
      <c r="I11" t="n">
        <v>183.7752254635167</v>
      </c>
      <c r="J11" t="n">
        <v>3106.856743850715</v>
      </c>
      <c r="K11" t="n">
        <v>40.534</v>
      </c>
      <c r="L11" t="n">
        <v>11.466</v>
      </c>
      <c r="M11" t="n">
        <v>22.05</v>
      </c>
      <c r="N11" t="n">
        <v>3814.844853579925</v>
      </c>
      <c r="O11" t="n">
        <v>13868.41009320484</v>
      </c>
      <c r="P11" t="n">
        <v>206.9586226123359</v>
      </c>
      <c r="Q11" t="n">
        <v>175.3496228889171</v>
      </c>
      <c r="R11" t="n">
        <v>3432.536608078672</v>
      </c>
      <c r="S11" t="n">
        <v>305.7750038811413</v>
      </c>
      <c r="T11" t="n">
        <v>332.7093017250937</v>
      </c>
    </row>
    <row r="12">
      <c r="A12" t="n">
        <v>2035</v>
      </c>
      <c r="B12" t="n">
        <v>52</v>
      </c>
      <c r="C12" t="n">
        <v>39.26</v>
      </c>
      <c r="D12" t="n">
        <v>12.74</v>
      </c>
      <c r="E12" t="n">
        <v>24.5</v>
      </c>
      <c r="F12" t="n">
        <v>4251.587202810012</v>
      </c>
      <c r="G12" t="n">
        <v>16589.44466846253</v>
      </c>
      <c r="H12" t="n">
        <v>238.9689683683513</v>
      </c>
      <c r="I12" t="n">
        <v>208.2379964150275</v>
      </c>
      <c r="J12" t="n">
        <v>3804.380238026633</v>
      </c>
      <c r="K12" t="n">
        <v>39.26</v>
      </c>
      <c r="L12" t="n">
        <v>12.74</v>
      </c>
      <c r="M12" t="n">
        <v>24.5</v>
      </c>
      <c r="N12" t="n">
        <v>4385.306611852406</v>
      </c>
      <c r="O12" t="n">
        <v>18253.71670505725</v>
      </c>
      <c r="P12" t="n">
        <v>227.8217375975047</v>
      </c>
      <c r="Q12" t="n">
        <v>197.0907656441809</v>
      </c>
      <c r="R12" t="n">
        <v>3960.39410861072</v>
      </c>
      <c r="S12" t="n">
        <v>333.7195606601265</v>
      </c>
      <c r="T12" t="n">
        <v>344.2155896273473</v>
      </c>
    </row>
    <row r="13">
      <c r="A13" t="n">
        <v>2036</v>
      </c>
      <c r="B13" t="n">
        <v>52</v>
      </c>
      <c r="C13" t="n">
        <v>36.64266666666666</v>
      </c>
      <c r="D13" t="n">
        <v>15.35733333333334</v>
      </c>
      <c r="E13" t="n">
        <v>29.53333333333336</v>
      </c>
      <c r="F13" t="n">
        <v>5679.313504861749</v>
      </c>
      <c r="G13" t="n">
        <v>22268.75817332428</v>
      </c>
      <c r="H13" t="n">
        <v>296.1609988175175</v>
      </c>
      <c r="I13" t="n">
        <v>266.3080546342887</v>
      </c>
      <c r="J13" t="n">
        <v>5116.844451409942</v>
      </c>
      <c r="K13" t="n">
        <v>36.64266666666666</v>
      </c>
      <c r="L13" t="n">
        <v>15.35733333333334</v>
      </c>
      <c r="M13" t="n">
        <v>29.53333333333336</v>
      </c>
      <c r="N13" t="n">
        <v>5702.833148654546</v>
      </c>
      <c r="O13" t="n">
        <v>23956.54985371179</v>
      </c>
      <c r="P13" t="n">
        <v>279.309675044876</v>
      </c>
      <c r="Q13" t="n">
        <v>249.4567308616471</v>
      </c>
      <c r="R13" t="n">
        <v>5174.066742748022</v>
      </c>
      <c r="S13" t="n">
        <v>369.8111763019891</v>
      </c>
      <c r="T13" t="n">
        <v>371.3426689955642</v>
      </c>
    </row>
    <row r="14">
      <c r="A14" t="n">
        <v>2037</v>
      </c>
      <c r="B14" t="n">
        <v>52</v>
      </c>
      <c r="C14" t="n">
        <v>34.02533333333333</v>
      </c>
      <c r="D14" t="n">
        <v>17.97466666666667</v>
      </c>
      <c r="E14" t="n">
        <v>34.56666666666667</v>
      </c>
      <c r="F14" t="n">
        <v>7100.491181457822</v>
      </c>
      <c r="G14" t="n">
        <v>29369.2493547821</v>
      </c>
      <c r="H14" t="n">
        <v>350.0996631981437</v>
      </c>
      <c r="I14" t="n">
        <v>321.1247467850098</v>
      </c>
      <c r="J14" t="n">
        <v>6429.266771474669</v>
      </c>
      <c r="K14" t="n">
        <v>34.02533333333333</v>
      </c>
      <c r="L14" t="n">
        <v>17.97466666666667</v>
      </c>
      <c r="M14" t="n">
        <v>34.56666666666667</v>
      </c>
      <c r="N14" t="n">
        <v>6919.958946505451</v>
      </c>
      <c r="O14" t="n">
        <v>30876.50880021724</v>
      </c>
      <c r="P14" t="n">
        <v>326.8393504421902</v>
      </c>
      <c r="Q14" t="n">
        <v>297.8644340290563</v>
      </c>
      <c r="R14" t="n">
        <v>6295.255162034204</v>
      </c>
      <c r="S14" t="n">
        <v>395.0276972103972</v>
      </c>
      <c r="T14" t="n">
        <v>384.9839930182544</v>
      </c>
    </row>
    <row r="15">
      <c r="A15" t="n">
        <v>2038</v>
      </c>
      <c r="B15" t="n">
        <v>52</v>
      </c>
      <c r="C15" t="n">
        <v>31.408</v>
      </c>
      <c r="D15" t="n">
        <v>20.592</v>
      </c>
      <c r="E15" t="n">
        <v>39.59999999999999</v>
      </c>
      <c r="F15" t="n">
        <v>8515.204019235394</v>
      </c>
      <c r="G15" t="n">
        <v>37884.4533740175</v>
      </c>
      <c r="H15" t="n">
        <v>400.7849615102298</v>
      </c>
      <c r="I15" t="n">
        <v>372.6880728671909</v>
      </c>
      <c r="J15" t="n">
        <v>7741.730984857973</v>
      </c>
      <c r="K15" t="n">
        <v>31.408</v>
      </c>
      <c r="L15" t="n">
        <v>20.592</v>
      </c>
      <c r="M15" t="n">
        <v>39.59999999999999</v>
      </c>
      <c r="N15" t="n">
        <v>8036.766418043288</v>
      </c>
      <c r="O15" t="n">
        <v>38913.27521826053</v>
      </c>
      <c r="P15" t="n">
        <v>370.4107637894473</v>
      </c>
      <c r="Q15" t="n">
        <v>342.3138751464085</v>
      </c>
      <c r="R15" t="n">
        <v>7324.041779107431</v>
      </c>
      <c r="S15" t="n">
        <v>413.5200087041276</v>
      </c>
      <c r="T15" t="n">
        <v>390.2858594620866</v>
      </c>
    </row>
    <row r="16">
      <c r="A16" t="n">
        <v>2039</v>
      </c>
      <c r="B16" t="n">
        <v>52</v>
      </c>
      <c r="C16" t="n">
        <v>28.79066666666666</v>
      </c>
      <c r="D16" t="n">
        <v>23.20933333333334</v>
      </c>
      <c r="E16" t="n">
        <v>44.63333333333335</v>
      </c>
      <c r="F16" t="n">
        <v>9923.368231557304</v>
      </c>
      <c r="G16" t="n">
        <v>47807.8216055748</v>
      </c>
      <c r="H16" t="n">
        <v>448.2168937537759</v>
      </c>
      <c r="I16" t="n">
        <v>420.9980328808319</v>
      </c>
      <c r="J16" t="n">
        <v>9054.153304922696</v>
      </c>
      <c r="K16" t="n">
        <v>28.79066666666666</v>
      </c>
      <c r="L16" t="n">
        <v>23.20933333333334</v>
      </c>
      <c r="M16" t="n">
        <v>44.63333333333335</v>
      </c>
      <c r="N16" t="n">
        <v>9053.174274442623</v>
      </c>
      <c r="O16" t="n">
        <v>47966.44949270316</v>
      </c>
      <c r="P16" t="n">
        <v>410.0239150866475</v>
      </c>
      <c r="Q16" t="n">
        <v>382.8050542137036</v>
      </c>
      <c r="R16" t="n">
        <v>8260.345305142273</v>
      </c>
      <c r="S16" t="n">
        <v>427.5593826430733</v>
      </c>
      <c r="T16" t="n">
        <v>390.066105924741</v>
      </c>
    </row>
    <row r="17">
      <c r="A17" t="n">
        <v>2040</v>
      </c>
      <c r="B17" t="n">
        <v>52</v>
      </c>
      <c r="C17" t="n">
        <v>26.17333333333334</v>
      </c>
      <c r="D17" t="n">
        <v>25.82666666666666</v>
      </c>
      <c r="E17" t="n">
        <v>49.66666666666666</v>
      </c>
      <c r="F17" t="n">
        <v>11325.06760506072</v>
      </c>
      <c r="G17" t="n">
        <v>59132.88921063551</v>
      </c>
      <c r="H17" t="n">
        <v>492.395459928782</v>
      </c>
      <c r="I17" t="n">
        <v>466.0546268259331</v>
      </c>
      <c r="J17" t="n">
        <v>10366.617518306</v>
      </c>
      <c r="K17" t="n">
        <v>26.17333333333334</v>
      </c>
      <c r="L17" t="n">
        <v>25.82666666666666</v>
      </c>
      <c r="M17" t="n">
        <v>49.66666666666666</v>
      </c>
      <c r="N17" t="n">
        <v>9969.265178527892</v>
      </c>
      <c r="O17" t="n">
        <v>57935.71467123105</v>
      </c>
      <c r="P17" t="n">
        <v>445.6788043337908</v>
      </c>
      <c r="Q17" t="n">
        <v>419.3379712309418</v>
      </c>
      <c r="R17" t="n">
        <v>9104.248402963161</v>
      </c>
      <c r="S17" t="n">
        <v>438.5028757767446</v>
      </c>
      <c r="T17" t="n">
        <v>386.0066537891544</v>
      </c>
    </row>
    <row r="18">
      <c r="A18" t="n">
        <v>2041</v>
      </c>
      <c r="B18" t="n">
        <v>52</v>
      </c>
      <c r="C18" t="n">
        <v>23.556</v>
      </c>
      <c r="D18" t="n">
        <v>28.444</v>
      </c>
      <c r="E18" t="n">
        <v>54.7</v>
      </c>
      <c r="F18" t="n">
        <v>12735.78804531641</v>
      </c>
      <c r="G18" t="n">
        <v>71868.67725595192</v>
      </c>
      <c r="H18" t="n">
        <v>541.3250130817399</v>
      </c>
      <c r="I18" t="n">
        <v>515.4231938639385</v>
      </c>
      <c r="J18" t="n">
        <v>11679.03983837073</v>
      </c>
      <c r="K18" t="n">
        <v>23.556</v>
      </c>
      <c r="L18" t="n">
        <v>28.444</v>
      </c>
      <c r="M18" t="n">
        <v>54.7</v>
      </c>
      <c r="N18" t="n">
        <v>10806.05049053696</v>
      </c>
      <c r="O18" t="n">
        <v>68741.76516176801</v>
      </c>
      <c r="P18" t="n">
        <v>488.142511910918</v>
      </c>
      <c r="Q18" t="n">
        <v>462.2406926931164</v>
      </c>
      <c r="R18" t="n">
        <v>9855.667285932926</v>
      </c>
      <c r="S18" t="n">
        <v>447.7495445547887</v>
      </c>
      <c r="T18" t="n">
        <v>379.9061485915117</v>
      </c>
    </row>
    <row r="19">
      <c r="A19" t="n">
        <v>2042</v>
      </c>
      <c r="B19" t="n">
        <v>52</v>
      </c>
      <c r="C19" t="n">
        <v>20.93866666666667</v>
      </c>
      <c r="D19" t="n">
        <v>31.06133333333333</v>
      </c>
      <c r="E19" t="n">
        <v>59.73333333333334</v>
      </c>
      <c r="F19" t="n">
        <v>14143.29701282214</v>
      </c>
      <c r="G19" t="n">
        <v>86011.97426877405</v>
      </c>
      <c r="H19" t="n">
        <v>588.627883200428</v>
      </c>
      <c r="I19" t="n">
        <v>563.165077867674</v>
      </c>
      <c r="J19" t="n">
        <v>12991.50405175404</v>
      </c>
      <c r="K19" t="n">
        <v>20.93866666666667</v>
      </c>
      <c r="L19" t="n">
        <v>31.06133333333333</v>
      </c>
      <c r="M19" t="n">
        <v>59.73333333333334</v>
      </c>
      <c r="N19" t="n">
        <v>11547.07118798389</v>
      </c>
      <c r="O19" t="n">
        <v>80288.83634975189</v>
      </c>
      <c r="P19" t="n">
        <v>528.9253136859662</v>
      </c>
      <c r="Q19" t="n">
        <v>503.4625083532122</v>
      </c>
      <c r="R19" t="n">
        <v>10514.68336594471</v>
      </c>
      <c r="S19" t="n">
        <v>455.3345106291469</v>
      </c>
      <c r="T19" t="n">
        <v>371.7506606708412</v>
      </c>
    </row>
    <row r="20">
      <c r="A20" t="n">
        <v>2043</v>
      </c>
      <c r="B20" t="n">
        <v>52</v>
      </c>
      <c r="C20" t="n">
        <v>18.32133333333333</v>
      </c>
      <c r="D20" t="n">
        <v>33.67866666666667</v>
      </c>
      <c r="E20" t="n">
        <v>64.76666666666667</v>
      </c>
      <c r="F20" t="n">
        <v>15547.51072094075</v>
      </c>
      <c r="G20" t="n">
        <v>101559.4849897148</v>
      </c>
      <c r="H20" t="n">
        <v>634.3040702848458</v>
      </c>
      <c r="I20" t="n">
        <v>609.2802788371393</v>
      </c>
      <c r="J20" t="n">
        <v>14303.92637181876</v>
      </c>
      <c r="K20" t="n">
        <v>18.32133333333333</v>
      </c>
      <c r="L20" t="n">
        <v>33.67866666666667</v>
      </c>
      <c r="M20" t="n">
        <v>64.76666666666667</v>
      </c>
      <c r="N20" t="n">
        <v>12192.2479835333</v>
      </c>
      <c r="O20" t="n">
        <v>92481.08433328519</v>
      </c>
      <c r="P20" t="n">
        <v>568.0272096589355</v>
      </c>
      <c r="Q20" t="n">
        <v>543.0034182112288</v>
      </c>
      <c r="R20" t="n">
        <v>11081.21735566314</v>
      </c>
      <c r="S20" t="n">
        <v>461.6427032228339</v>
      </c>
      <c r="T20" t="n">
        <v>362.0169439665059</v>
      </c>
    </row>
    <row r="21">
      <c r="A21" t="n">
        <v>2044</v>
      </c>
      <c r="B21" t="n">
        <v>52</v>
      </c>
      <c r="C21" t="n">
        <v>15.704</v>
      </c>
      <c r="D21" t="n">
        <v>36.296</v>
      </c>
      <c r="E21" t="n">
        <v>69.8</v>
      </c>
      <c r="F21" t="n">
        <v>16948.51295630939</v>
      </c>
      <c r="G21" t="n">
        <v>118507.9979460242</v>
      </c>
      <c r="H21" t="n">
        <v>678.3535743349938</v>
      </c>
      <c r="I21" t="n">
        <v>653.7687967723348</v>
      </c>
      <c r="J21" t="n">
        <v>15616.39058520207</v>
      </c>
      <c r="K21" t="n">
        <v>15.704</v>
      </c>
      <c r="L21" t="n">
        <v>36.296</v>
      </c>
      <c r="M21" t="n">
        <v>69.8</v>
      </c>
      <c r="N21" t="n">
        <v>12741.6625392646</v>
      </c>
      <c r="O21" t="n">
        <v>105222.7468725498</v>
      </c>
      <c r="P21" t="n">
        <v>605.4481998298256</v>
      </c>
      <c r="Q21" t="n">
        <v>580.8634222671666</v>
      </c>
      <c r="R21" t="n">
        <v>11555.35091716761</v>
      </c>
      <c r="S21" t="n">
        <v>466.9526382055706</v>
      </c>
      <c r="T21" t="n">
        <v>351.0486703566399</v>
      </c>
    </row>
    <row r="22">
      <c r="A22" t="n">
        <v>2045</v>
      </c>
      <c r="B22" t="n">
        <v>52</v>
      </c>
      <c r="C22" t="n">
        <v>13.08666666666667</v>
      </c>
      <c r="D22" t="n">
        <v>38.91333333333333</v>
      </c>
      <c r="E22" t="n">
        <v>74.83333333333333</v>
      </c>
      <c r="F22" t="n">
        <v>18346.21993229093</v>
      </c>
      <c r="G22" t="n">
        <v>136854.2178783151</v>
      </c>
      <c r="H22" t="n">
        <v>720.7763953508717</v>
      </c>
      <c r="I22" t="n">
        <v>696.6306316732603</v>
      </c>
      <c r="J22" t="n">
        <v>16928.81290526679</v>
      </c>
      <c r="K22" t="n">
        <v>13.08666666666667</v>
      </c>
      <c r="L22" t="n">
        <v>38.91333333333333</v>
      </c>
      <c r="M22" t="n">
        <v>74.83333333333333</v>
      </c>
      <c r="N22" t="n">
        <v>13195.22794323782</v>
      </c>
      <c r="O22" t="n">
        <v>118417.9748157876</v>
      </c>
      <c r="P22" t="n">
        <v>641.1882841986368</v>
      </c>
      <c r="Q22" t="n">
        <v>617.0425205210253</v>
      </c>
      <c r="R22" t="n">
        <v>11936.99713851816</v>
      </c>
      <c r="S22" t="n">
        <v>471.46359257215</v>
      </c>
      <c r="T22" t="n">
        <v>339.0927174037473</v>
      </c>
    </row>
    <row r="23">
      <c r="A23" t="n">
        <v>2046</v>
      </c>
      <c r="B23" t="n">
        <v>52</v>
      </c>
      <c r="C23" t="n">
        <v>10.46933333333333</v>
      </c>
      <c r="D23" t="n">
        <v>41.53066666666667</v>
      </c>
      <c r="E23" t="n">
        <v>79.86666666666665</v>
      </c>
      <c r="F23" t="n">
        <v>19794.09240158749</v>
      </c>
      <c r="G23" t="n">
        <v>156648.3102799026</v>
      </c>
      <c r="H23" t="n">
        <v>763.5554049321023</v>
      </c>
      <c r="I23" t="n">
        <v>739.8486551395383</v>
      </c>
      <c r="J23" t="n">
        <v>18290.68834151584</v>
      </c>
      <c r="K23" t="n">
        <v>10.46933333333333</v>
      </c>
      <c r="L23" t="n">
        <v>41.53066666666667</v>
      </c>
      <c r="M23" t="n">
        <v>79.86666666666665</v>
      </c>
      <c r="N23" t="n">
        <v>13712.24690830868</v>
      </c>
      <c r="O23" t="n">
        <v>132130.2217240963</v>
      </c>
      <c r="P23" t="n">
        <v>676.986606397538</v>
      </c>
      <c r="Q23" t="n">
        <v>653.279856604974</v>
      </c>
      <c r="R23" t="n">
        <v>12381.98044530617</v>
      </c>
      <c r="S23" t="n">
        <v>476.6138853599145</v>
      </c>
      <c r="T23" t="n">
        <v>330.1716059211349</v>
      </c>
    </row>
    <row r="24">
      <c r="A24" t="n">
        <v>2047</v>
      </c>
      <c r="B24" t="n">
        <v>52</v>
      </c>
      <c r="C24" t="n">
        <v>7.851999999999996</v>
      </c>
      <c r="D24" t="n">
        <v>44.148</v>
      </c>
      <c r="E24" t="n">
        <v>84.90000000000001</v>
      </c>
      <c r="F24" t="n">
        <v>21238.54568202197</v>
      </c>
      <c r="G24" t="n">
        <v>177886.8559619246</v>
      </c>
      <c r="H24" t="n">
        <v>804.645766741575</v>
      </c>
      <c r="I24" t="n">
        <v>781.3780308340584</v>
      </c>
      <c r="J24" t="n">
        <v>19652.52188444633</v>
      </c>
      <c r="K24" t="n">
        <v>7.851999999999996</v>
      </c>
      <c r="L24" t="n">
        <v>44.148</v>
      </c>
      <c r="M24" t="n">
        <v>84.90000000000001</v>
      </c>
      <c r="N24" t="n">
        <v>14148.6881526278</v>
      </c>
      <c r="O24" t="n">
        <v>146278.9098767241</v>
      </c>
      <c r="P24" t="n">
        <v>711.0399925656228</v>
      </c>
      <c r="Q24" t="n">
        <v>687.7722566581062</v>
      </c>
      <c r="R24" t="n">
        <v>12749.87590340407</v>
      </c>
      <c r="S24" t="n">
        <v>481.076055133233</v>
      </c>
      <c r="T24" t="n">
        <v>320.4831057494745</v>
      </c>
    </row>
    <row r="25">
      <c r="A25" t="n">
        <v>2048</v>
      </c>
      <c r="B25" t="n">
        <v>52</v>
      </c>
      <c r="C25" t="n">
        <v>5.234666666666661</v>
      </c>
      <c r="D25" t="n">
        <v>46.76533333333334</v>
      </c>
      <c r="E25" t="n">
        <v>89.93333333333334</v>
      </c>
      <c r="F25" t="n">
        <v>22679.6635602315</v>
      </c>
      <c r="G25" t="n">
        <v>200566.5195221561</v>
      </c>
      <c r="H25" t="n">
        <v>844.0474807792893</v>
      </c>
      <c r="I25" t="n">
        <v>821.2187587568203</v>
      </c>
      <c r="J25" t="n">
        <v>21014.39732069539</v>
      </c>
      <c r="K25" t="n">
        <v>5.234666666666661</v>
      </c>
      <c r="L25" t="n">
        <v>46.76533333333334</v>
      </c>
      <c r="M25" t="n">
        <v>89.93333333333334</v>
      </c>
      <c r="N25" t="n">
        <v>14504.64249258753</v>
      </c>
      <c r="O25" t="n">
        <v>160783.5523693116</v>
      </c>
      <c r="P25" t="n">
        <v>743.3484427028907</v>
      </c>
      <c r="Q25" t="n">
        <v>720.5197206804215</v>
      </c>
      <c r="R25" t="n">
        <v>13040.77432920421</v>
      </c>
      <c r="S25" t="n">
        <v>484.9674308654166</v>
      </c>
      <c r="T25" t="n">
        <v>310.1580050590365</v>
      </c>
    </row>
    <row r="26">
      <c r="A26" t="n">
        <v>2049</v>
      </c>
      <c r="B26" t="n">
        <v>52</v>
      </c>
      <c r="C26" t="n">
        <v>2.617333333333334</v>
      </c>
      <c r="D26" t="n">
        <v>49.38266666666667</v>
      </c>
      <c r="E26" t="n">
        <v>94.96666666666667</v>
      </c>
      <c r="F26" t="n">
        <v>24117.36224957893</v>
      </c>
      <c r="G26" t="n">
        <v>224683.881771735</v>
      </c>
      <c r="H26" t="n">
        <v>881.7605470452453</v>
      </c>
      <c r="I26" t="n">
        <v>859.3708389078237</v>
      </c>
      <c r="J26" t="n">
        <v>22376.23086362586</v>
      </c>
      <c r="K26" t="n">
        <v>2.617333333333334</v>
      </c>
      <c r="L26" t="n">
        <v>49.38266666666667</v>
      </c>
      <c r="M26" t="n">
        <v>94.96666666666667</v>
      </c>
      <c r="N26" t="n">
        <v>14780.01859236244</v>
      </c>
      <c r="O26" t="n">
        <v>175563.570961674</v>
      </c>
      <c r="P26" t="n">
        <v>773.9119568093413</v>
      </c>
      <c r="Q26" t="n">
        <v>751.5222486719197</v>
      </c>
      <c r="R26" t="n">
        <v>13254.58438688118</v>
      </c>
      <c r="S26" t="n">
        <v>488.3770739310473</v>
      </c>
      <c r="T26" t="n">
        <v>299.2956757910152</v>
      </c>
    </row>
    <row r="27">
      <c r="A27" t="n">
        <v>2050</v>
      </c>
      <c r="B27" t="n">
        <v>52</v>
      </c>
      <c r="C27" t="n">
        <v>0</v>
      </c>
      <c r="D27" t="n">
        <v>52</v>
      </c>
      <c r="E27" t="n">
        <v>100</v>
      </c>
      <c r="F27" t="n">
        <v>25551.72553670143</v>
      </c>
      <c r="G27" t="n">
        <v>250235.6073084364</v>
      </c>
      <c r="H27" t="n">
        <v>917.7849655394433</v>
      </c>
      <c r="I27" t="n">
        <v>895.8342712870691</v>
      </c>
      <c r="J27" t="n">
        <v>23738.10629987492</v>
      </c>
      <c r="K27" t="n">
        <v>0</v>
      </c>
      <c r="L27" t="n">
        <v>52</v>
      </c>
      <c r="M27" t="n">
        <v>100</v>
      </c>
      <c r="N27" t="n">
        <v>14974.90388332558</v>
      </c>
      <c r="O27" t="n">
        <v>190538.4748449996</v>
      </c>
      <c r="P27" t="n">
        <v>802.7305348849756</v>
      </c>
      <c r="Q27" t="n">
        <v>780.7798406326013</v>
      </c>
      <c r="R27" t="n">
        <v>13391.393507808</v>
      </c>
      <c r="S27" t="n">
        <v>491.3793372442583</v>
      </c>
      <c r="T27" t="n">
        <v>287.9789208331842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Elec_Cumulative_Reduction_MtCO2</t>
        </is>
      </c>
      <c r="C1" s="1" t="inlineStr">
        <is>
          <t>H2_Cumulative_Reduction_MtCO2</t>
        </is>
      </c>
      <c r="D1" s="1" t="inlineStr">
        <is>
          <t>Elec_Cumulative_Cost_BUSD</t>
        </is>
      </c>
      <c r="E1" s="1" t="inlineStr">
        <is>
          <t>H2_Cumulative_Cost_BUSD</t>
        </is>
      </c>
      <c r="F1" s="1" t="inlineStr">
        <is>
          <t>Elec_Total_Abatement_MtCO2</t>
        </is>
      </c>
      <c r="G1" s="1" t="inlineStr">
        <is>
          <t>H2_Total_Abatement_MtCO2</t>
        </is>
      </c>
      <c r="H1" s="1" t="inlineStr">
        <is>
          <t>Elec_Avg_Cost_USD_per_tCO2</t>
        </is>
      </c>
      <c r="I1" s="1" t="inlineStr">
        <is>
          <t>H2_Avg_Cost_USD_per_tCO2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2026</v>
      </c>
      <c r="B3" t="n">
        <v>0.0957565526143111</v>
      </c>
      <c r="C3" t="n">
        <v>0.0957565526143111</v>
      </c>
      <c r="D3" t="n">
        <v>0.1369466227362222</v>
      </c>
      <c r="E3" t="n">
        <v>0.1369466227362222</v>
      </c>
      <c r="F3" t="n">
        <v>2.489670367972089</v>
      </c>
      <c r="G3" t="n">
        <v>2.489670367972089</v>
      </c>
      <c r="H3" t="n">
        <v>55.00592548232372</v>
      </c>
      <c r="I3" t="n">
        <v>55.00592548232372</v>
      </c>
    </row>
    <row r="4">
      <c r="A4" t="n">
        <v>2027</v>
      </c>
      <c r="B4" t="n">
        <v>0.2872696578429333</v>
      </c>
      <c r="C4" t="n">
        <v>0.2872696578429333</v>
      </c>
      <c r="D4" t="n">
        <v>0.4145957625282106</v>
      </c>
      <c r="E4" t="n">
        <v>0.4145957625282106</v>
      </c>
      <c r="F4" t="n">
        <v>4.979340735944177</v>
      </c>
      <c r="G4" t="n">
        <v>4.979340735944177</v>
      </c>
      <c r="H4" t="n">
        <v>83.26318372538437</v>
      </c>
      <c r="I4" t="n">
        <v>83.26318372538437</v>
      </c>
    </row>
    <row r="5">
      <c r="A5" t="n">
        <v>2028</v>
      </c>
      <c r="B5" t="n">
        <v>0.5745393156858671</v>
      </c>
      <c r="C5" t="n">
        <v>0.5745393156858671</v>
      </c>
      <c r="D5" t="n">
        <v>0.8367318639445791</v>
      </c>
      <c r="E5" t="n">
        <v>0.8367318639445791</v>
      </c>
      <c r="F5" t="n">
        <v>7.46901110391628</v>
      </c>
      <c r="G5" t="n">
        <v>7.46901110391628</v>
      </c>
      <c r="H5" t="n">
        <v>112.0271281302353</v>
      </c>
      <c r="I5" t="n">
        <v>112.0271281302353</v>
      </c>
    </row>
    <row r="6">
      <c r="A6" t="n">
        <v>2029</v>
      </c>
      <c r="B6" t="n">
        <v>0.9575655261431121</v>
      </c>
      <c r="C6" t="n">
        <v>0.9575655261431121</v>
      </c>
      <c r="D6" t="n">
        <v>1.407091787805492</v>
      </c>
      <c r="E6" t="n">
        <v>1.407091787805492</v>
      </c>
      <c r="F6" t="n">
        <v>9.958681471888369</v>
      </c>
      <c r="G6" t="n">
        <v>9.958681471888369</v>
      </c>
      <c r="H6" t="n">
        <v>141.2929805795545</v>
      </c>
      <c r="I6" t="n">
        <v>141.2929805795545</v>
      </c>
    </row>
    <row r="7">
      <c r="A7" t="n">
        <v>2030</v>
      </c>
      <c r="B7" t="n">
        <v>1.202565526143112</v>
      </c>
      <c r="C7" t="n">
        <v>1.202565526143112</v>
      </c>
      <c r="D7" t="n">
        <v>2.352678519497771</v>
      </c>
      <c r="E7" t="n">
        <v>2.485987311726347</v>
      </c>
      <c r="F7" t="n">
        <v>6.369999999999997</v>
      </c>
      <c r="G7" t="n">
        <v>6.369999999999997</v>
      </c>
      <c r="H7" t="n">
        <v>369.3372872053018</v>
      </c>
      <c r="I7" t="n">
        <v>390.2648841014674</v>
      </c>
    </row>
    <row r="8">
      <c r="A8" t="n">
        <v>2031</v>
      </c>
      <c r="B8" t="n">
        <v>1.496565526143112</v>
      </c>
      <c r="C8" t="n">
        <v>1.496565526143112</v>
      </c>
      <c r="D8" t="n">
        <v>3.880116347783807</v>
      </c>
      <c r="E8" t="n">
        <v>4.31695199789247</v>
      </c>
      <c r="F8" t="n">
        <v>7.643999999999991</v>
      </c>
      <c r="G8" t="n">
        <v>7.643999999999991</v>
      </c>
      <c r="H8" t="n">
        <v>507.6028712433035</v>
      </c>
      <c r="I8" t="n">
        <v>564.7503921889685</v>
      </c>
    </row>
    <row r="9">
      <c r="A9" t="n">
        <v>2032</v>
      </c>
      <c r="B9" t="n">
        <v>1.839565526143111</v>
      </c>
      <c r="C9" t="n">
        <v>1.839565526143111</v>
      </c>
      <c r="D9" t="n">
        <v>6.026650679975</v>
      </c>
      <c r="E9" t="n">
        <v>6.854625888629252</v>
      </c>
      <c r="F9" t="n">
        <v>8.917999999999992</v>
      </c>
      <c r="G9" t="n">
        <v>8.917999999999992</v>
      </c>
      <c r="H9" t="n">
        <v>675.7850056038355</v>
      </c>
      <c r="I9" t="n">
        <v>768.6281552623075</v>
      </c>
    </row>
    <row r="10">
      <c r="A10" t="n">
        <v>2033</v>
      </c>
      <c r="B10" t="n">
        <v>2.231565526143112</v>
      </c>
      <c r="C10" t="n">
        <v>2.231565526143112</v>
      </c>
      <c r="D10" t="n">
        <v>8.831841271151349</v>
      </c>
      <c r="E10" t="n">
        <v>10.05356523962491</v>
      </c>
      <c r="F10" t="n">
        <v>10.192</v>
      </c>
      <c r="G10" t="n">
        <v>10.192</v>
      </c>
      <c r="H10" t="n">
        <v>866.5464355525265</v>
      </c>
      <c r="I10" t="n">
        <v>986.4173115801519</v>
      </c>
    </row>
    <row r="11">
      <c r="A11" t="n">
        <v>2034</v>
      </c>
      <c r="B11" t="n">
        <v>2.672565526143112</v>
      </c>
      <c r="C11" t="n">
        <v>2.672565526143112</v>
      </c>
      <c r="D11" t="n">
        <v>12.33785746565252</v>
      </c>
      <c r="E11" t="n">
        <v>13.86841009320484</v>
      </c>
      <c r="F11" t="n">
        <v>11.466</v>
      </c>
      <c r="G11" t="n">
        <v>11.466</v>
      </c>
      <c r="H11" t="n">
        <v>1076.038502150054</v>
      </c>
      <c r="I11" t="n">
        <v>1209.52468979634</v>
      </c>
    </row>
    <row r="12">
      <c r="A12" t="n">
        <v>2035</v>
      </c>
      <c r="B12" t="n">
        <v>3.162565526143112</v>
      </c>
      <c r="C12" t="n">
        <v>3.162565526143112</v>
      </c>
      <c r="D12" t="n">
        <v>16.58944466846253</v>
      </c>
      <c r="E12" t="n">
        <v>18.25371670505725</v>
      </c>
      <c r="F12" t="n">
        <v>12.74</v>
      </c>
      <c r="G12" t="n">
        <v>12.74</v>
      </c>
      <c r="H12" t="n">
        <v>1302.154212595175</v>
      </c>
      <c r="I12" t="n">
        <v>1432.787810444054</v>
      </c>
    </row>
    <row r="13">
      <c r="A13" t="n">
        <v>2036</v>
      </c>
      <c r="B13" t="n">
        <v>3.753232192809779</v>
      </c>
      <c r="C13" t="n">
        <v>3.753232192809779</v>
      </c>
      <c r="D13" t="n">
        <v>22.26875817332428</v>
      </c>
      <c r="E13" t="n">
        <v>23.95654985371179</v>
      </c>
      <c r="F13" t="n">
        <v>15.35733333333334</v>
      </c>
      <c r="G13" t="n">
        <v>15.35733333333334</v>
      </c>
      <c r="H13" t="n">
        <v>1450.040686750582</v>
      </c>
      <c r="I13" t="n">
        <v>1559.942037704796</v>
      </c>
    </row>
    <row r="14">
      <c r="A14" t="n">
        <v>2037</v>
      </c>
      <c r="B14" t="n">
        <v>4.444565526143113</v>
      </c>
      <c r="C14" t="n">
        <v>4.444565526143113</v>
      </c>
      <c r="D14" t="n">
        <v>29.3692493547821</v>
      </c>
      <c r="E14" t="n">
        <v>30.87650880021724</v>
      </c>
      <c r="F14" t="n">
        <v>17.97466666666667</v>
      </c>
      <c r="G14" t="n">
        <v>17.97466666666667</v>
      </c>
      <c r="H14" t="n">
        <v>1633.924561685822</v>
      </c>
      <c r="I14" t="n">
        <v>1717.779215203837</v>
      </c>
    </row>
    <row r="15">
      <c r="A15" t="n">
        <v>2038</v>
      </c>
      <c r="B15" t="n">
        <v>5.236565526143114</v>
      </c>
      <c r="C15" t="n">
        <v>5.236565526143114</v>
      </c>
      <c r="D15" t="n">
        <v>37.8844533740175</v>
      </c>
      <c r="E15" t="n">
        <v>38.91327521826053</v>
      </c>
      <c r="F15" t="n">
        <v>20.592</v>
      </c>
      <c r="G15" t="n">
        <v>20.592</v>
      </c>
      <c r="H15" t="n">
        <v>1839.765606741332</v>
      </c>
      <c r="I15" t="n">
        <v>1889.727817514594</v>
      </c>
    </row>
    <row r="16">
      <c r="A16" t="n">
        <v>2039</v>
      </c>
      <c r="B16" t="n">
        <v>6.129232192809781</v>
      </c>
      <c r="C16" t="n">
        <v>6.129232192809781</v>
      </c>
      <c r="D16" t="n">
        <v>47.8078216055748</v>
      </c>
      <c r="E16" t="n">
        <v>47.96644949270316</v>
      </c>
      <c r="F16" t="n">
        <v>23.20933333333334</v>
      </c>
      <c r="G16" t="n">
        <v>23.20933333333334</v>
      </c>
      <c r="H16" t="n">
        <v>2059.853289146958</v>
      </c>
      <c r="I16" t="n">
        <v>2066.687948499303</v>
      </c>
    </row>
    <row r="17">
      <c r="A17" t="n">
        <v>2040</v>
      </c>
      <c r="B17" t="n">
        <v>7.122565526143114</v>
      </c>
      <c r="C17" t="n">
        <v>7.122565526143114</v>
      </c>
      <c r="D17" t="n">
        <v>59.13288921063551</v>
      </c>
      <c r="E17" t="n">
        <v>57.93571467123105</v>
      </c>
      <c r="F17" t="n">
        <v>25.82666666666666</v>
      </c>
      <c r="G17" t="n">
        <v>25.82666666666666</v>
      </c>
      <c r="H17" t="n">
        <v>2289.605932265186</v>
      </c>
      <c r="I17" t="n">
        <v>2243.251729655307</v>
      </c>
    </row>
    <row r="18">
      <c r="A18" t="n">
        <v>2041</v>
      </c>
      <c r="B18" t="n">
        <v>8.216565526143112</v>
      </c>
      <c r="C18" t="n">
        <v>8.216565526143112</v>
      </c>
      <c r="D18" t="n">
        <v>71.86867725595192</v>
      </c>
      <c r="E18" t="n">
        <v>68.74176516176801</v>
      </c>
      <c r="F18" t="n">
        <v>28.444</v>
      </c>
      <c r="G18" t="n">
        <v>28.444</v>
      </c>
      <c r="H18" t="n">
        <v>2526.672664039935</v>
      </c>
      <c r="I18" t="n">
        <v>2416.74044303783</v>
      </c>
    </row>
    <row r="19">
      <c r="A19" t="n">
        <v>2042</v>
      </c>
      <c r="B19" t="n">
        <v>9.411232192809779</v>
      </c>
      <c r="C19" t="n">
        <v>9.411232192809779</v>
      </c>
      <c r="D19" t="n">
        <v>86.01197426877405</v>
      </c>
      <c r="E19" t="n">
        <v>80.28883634975189</v>
      </c>
      <c r="F19" t="n">
        <v>31.06133333333333</v>
      </c>
      <c r="G19" t="n">
        <v>31.06133333333333</v>
      </c>
      <c r="H19" t="n">
        <v>2769.101163357681</v>
      </c>
      <c r="I19" t="n">
        <v>2584.848354323228</v>
      </c>
    </row>
    <row r="20">
      <c r="A20" t="n">
        <v>2043</v>
      </c>
      <c r="B20" t="n">
        <v>10.70656552614311</v>
      </c>
      <c r="C20" t="n">
        <v>10.70656552614311</v>
      </c>
      <c r="D20" t="n">
        <v>101.5594849897148</v>
      </c>
      <c r="E20" t="n">
        <v>92.4810843332852</v>
      </c>
      <c r="F20" t="n">
        <v>33.67866666666667</v>
      </c>
      <c r="G20" t="n">
        <v>33.67866666666667</v>
      </c>
      <c r="H20" t="n">
        <v>3015.543518836299</v>
      </c>
      <c r="I20" t="n">
        <v>2745.984134366518</v>
      </c>
    </row>
    <row r="21">
      <c r="A21" t="n">
        <v>2044</v>
      </c>
      <c r="B21" t="n">
        <v>12.10256552614311</v>
      </c>
      <c r="C21" t="n">
        <v>12.10256552614311</v>
      </c>
      <c r="D21" t="n">
        <v>118.5079979460242</v>
      </c>
      <c r="E21" t="n">
        <v>105.2227468725498</v>
      </c>
      <c r="F21" t="n">
        <v>36.296</v>
      </c>
      <c r="G21" t="n">
        <v>36.296</v>
      </c>
      <c r="H21" t="n">
        <v>3265.042923353102</v>
      </c>
      <c r="I21" t="n">
        <v>2899.017711939327</v>
      </c>
    </row>
    <row r="22">
      <c r="A22" t="n">
        <v>2045</v>
      </c>
      <c r="B22" t="n">
        <v>13.59923219280978</v>
      </c>
      <c r="C22" t="n">
        <v>13.59923219280978</v>
      </c>
      <c r="D22" t="n">
        <v>136.8542178783151</v>
      </c>
      <c r="E22" t="n">
        <v>118.4179748157876</v>
      </c>
      <c r="F22" t="n">
        <v>38.91333333333333</v>
      </c>
      <c r="G22" t="n">
        <v>38.91333333333333</v>
      </c>
      <c r="H22" t="n">
        <v>3516.897838229787</v>
      </c>
      <c r="I22" t="n">
        <v>3043.120819319538</v>
      </c>
    </row>
    <row r="23">
      <c r="A23" t="n">
        <v>2046</v>
      </c>
      <c r="B23" t="n">
        <v>15.19656552614311</v>
      </c>
      <c r="C23" t="n">
        <v>15.19656552614311</v>
      </c>
      <c r="D23" t="n">
        <v>156.6483102799026</v>
      </c>
      <c r="E23" t="n">
        <v>132.1302217240963</v>
      </c>
      <c r="F23" t="n">
        <v>41.53066666666667</v>
      </c>
      <c r="G23" t="n">
        <v>41.53066666666667</v>
      </c>
      <c r="H23" t="n">
        <v>3771.870833116956</v>
      </c>
      <c r="I23" t="n">
        <v>3181.509769265193</v>
      </c>
    </row>
    <row r="24">
      <c r="A24" t="n">
        <v>2047</v>
      </c>
      <c r="B24" t="n">
        <v>16.89456552614311</v>
      </c>
      <c r="C24" t="n">
        <v>16.89456552614311</v>
      </c>
      <c r="D24" t="n">
        <v>177.8868559619246</v>
      </c>
      <c r="E24" t="n">
        <v>146.2789098767241</v>
      </c>
      <c r="F24" t="n">
        <v>44.148</v>
      </c>
      <c r="G24" t="n">
        <v>44.148</v>
      </c>
      <c r="H24" t="n">
        <v>4029.32988950631</v>
      </c>
      <c r="I24" t="n">
        <v>3313.37568806569</v>
      </c>
    </row>
    <row r="25">
      <c r="A25" t="n">
        <v>2048</v>
      </c>
      <c r="B25" t="n">
        <v>18.69323219280978</v>
      </c>
      <c r="C25" t="n">
        <v>18.69323219280978</v>
      </c>
      <c r="D25" t="n">
        <v>200.5665195221561</v>
      </c>
      <c r="E25" t="n">
        <v>160.7835523693116</v>
      </c>
      <c r="F25" t="n">
        <v>46.76533333333334</v>
      </c>
      <c r="G25" t="n">
        <v>46.76533333333334</v>
      </c>
      <c r="H25" t="n">
        <v>4288.786270217742</v>
      </c>
      <c r="I25" t="n">
        <v>3438.09272614996</v>
      </c>
    </row>
    <row r="26">
      <c r="A26" t="n">
        <v>2049</v>
      </c>
      <c r="B26" t="n">
        <v>20.59256552614312</v>
      </c>
      <c r="C26" t="n">
        <v>20.59256552614312</v>
      </c>
      <c r="D26" t="n">
        <v>224.683881771735</v>
      </c>
      <c r="E26" t="n">
        <v>175.563570961674</v>
      </c>
      <c r="F26" t="n">
        <v>49.38266666666667</v>
      </c>
      <c r="G26" t="n">
        <v>49.38266666666667</v>
      </c>
      <c r="H26" t="n">
        <v>4549.85315573079</v>
      </c>
      <c r="I26" t="n">
        <v>3555.165867139766</v>
      </c>
    </row>
    <row r="27">
      <c r="A27" t="n">
        <v>2050</v>
      </c>
      <c r="B27" t="n">
        <v>22.59256552614312</v>
      </c>
      <c r="C27" t="n">
        <v>22.59256552614312</v>
      </c>
      <c r="D27" t="n">
        <v>250.2356073084364</v>
      </c>
      <c r="E27" t="n">
        <v>190.5384748449996</v>
      </c>
      <c r="F27" t="n">
        <v>52</v>
      </c>
      <c r="G27" t="n">
        <v>52</v>
      </c>
      <c r="H27" t="n">
        <v>4812.22321746993</v>
      </c>
      <c r="I27" t="n">
        <v>3664.201439326916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Abatement_MtCO2</t>
        </is>
      </c>
      <c r="D1" s="1" t="inlineStr">
        <is>
          <t>Annual_Cost_MUSD</t>
        </is>
      </c>
      <c r="E1" s="1" t="inlineStr">
        <is>
          <t>MAC_USD_per_tCO2</t>
        </is>
      </c>
      <c r="F1" s="1" t="inlineStr">
        <is>
          <t>Remaining_Emissions_MtCO2</t>
        </is>
      </c>
      <c r="G1" s="1" t="inlineStr">
        <is>
          <t>Reduction_Pct</t>
        </is>
      </c>
    </row>
    <row r="2">
      <c r="A2" t="n">
        <v>2025</v>
      </c>
      <c r="B2" t="inlineStr">
        <is>
          <t>NCC-Electricity</t>
        </is>
      </c>
      <c r="C2" t="n">
        <v>0</v>
      </c>
      <c r="D2" t="n">
        <v>0</v>
      </c>
      <c r="E2" t="n">
        <v>0</v>
      </c>
      <c r="F2" t="n">
        <v>52</v>
      </c>
      <c r="G2" t="n">
        <v>0</v>
      </c>
    </row>
    <row r="3">
      <c r="A3" t="n">
        <v>2025</v>
      </c>
      <c r="B3" t="inlineStr">
        <is>
          <t>NCC-H2</t>
        </is>
      </c>
      <c r="C3" t="n">
        <v>0</v>
      </c>
      <c r="D3" t="n">
        <v>0</v>
      </c>
      <c r="E3" t="n">
        <v>0</v>
      </c>
      <c r="F3" t="n">
        <v>52</v>
      </c>
      <c r="G3" t="n">
        <v>0</v>
      </c>
    </row>
    <row r="4">
      <c r="A4" t="n">
        <v>2030</v>
      </c>
      <c r="B4" t="inlineStr">
        <is>
          <t>NCC-Electricity</t>
        </is>
      </c>
      <c r="C4" t="n">
        <v>6.369999999999997</v>
      </c>
      <c r="D4" t="n">
        <v>945.5867316922788</v>
      </c>
      <c r="E4" t="n">
        <v>148.4437569375635</v>
      </c>
      <c r="F4" t="n">
        <v>45.63</v>
      </c>
      <c r="G4" t="n">
        <v>12.25000000000001</v>
      </c>
    </row>
    <row r="5">
      <c r="A5" t="n">
        <v>2030</v>
      </c>
      <c r="B5" t="inlineStr">
        <is>
          <t>NCC-H2</t>
        </is>
      </c>
      <c r="C5" t="n">
        <v>6.369999999999997</v>
      </c>
      <c r="D5" t="n">
        <v>1078.895523920855</v>
      </c>
      <c r="E5" t="n">
        <v>169.3713538337293</v>
      </c>
      <c r="F5" t="n">
        <v>45.63</v>
      </c>
      <c r="G5" t="n">
        <v>12.25000000000001</v>
      </c>
    </row>
    <row r="6">
      <c r="A6" t="n">
        <v>2035</v>
      </c>
      <c r="B6" t="inlineStr">
        <is>
          <t>NCC-Electricity</t>
        </is>
      </c>
      <c r="C6" t="n">
        <v>12.74</v>
      </c>
      <c r="D6" t="n">
        <v>4251.587202810012</v>
      </c>
      <c r="E6" t="n">
        <v>333.7195606601265</v>
      </c>
      <c r="F6" t="n">
        <v>39.26</v>
      </c>
      <c r="G6" t="n">
        <v>24.5</v>
      </c>
    </row>
    <row r="7">
      <c r="A7" t="n">
        <v>2035</v>
      </c>
      <c r="B7" t="inlineStr">
        <is>
          <t>NCC-H2</t>
        </is>
      </c>
      <c r="C7" t="n">
        <v>12.74</v>
      </c>
      <c r="D7" t="n">
        <v>4385.306611852406</v>
      </c>
      <c r="E7" t="n">
        <v>344.2155896273473</v>
      </c>
      <c r="F7" t="n">
        <v>39.26</v>
      </c>
      <c r="G7" t="n">
        <v>24.5</v>
      </c>
    </row>
    <row r="8">
      <c r="A8" t="n">
        <v>2040</v>
      </c>
      <c r="B8" t="inlineStr">
        <is>
          <t>NCC-Electricity</t>
        </is>
      </c>
      <c r="C8" t="n">
        <v>25.82666666666666</v>
      </c>
      <c r="D8" t="n">
        <v>11325.06760506072</v>
      </c>
      <c r="E8" t="n">
        <v>438.5028757767446</v>
      </c>
      <c r="F8" t="n">
        <v>26.17333333333334</v>
      </c>
      <c r="G8" t="n">
        <v>49.66666666666666</v>
      </c>
    </row>
    <row r="9">
      <c r="A9" t="n">
        <v>2040</v>
      </c>
      <c r="B9" t="inlineStr">
        <is>
          <t>NCC-H2</t>
        </is>
      </c>
      <c r="C9" t="n">
        <v>25.82666666666666</v>
      </c>
      <c r="D9" t="n">
        <v>9969.265178527892</v>
      </c>
      <c r="E9" t="n">
        <v>386.0066537891544</v>
      </c>
      <c r="F9" t="n">
        <v>26.17333333333334</v>
      </c>
      <c r="G9" t="n">
        <v>49.66666666666666</v>
      </c>
    </row>
    <row r="10">
      <c r="A10" t="n">
        <v>2045</v>
      </c>
      <c r="B10" t="inlineStr">
        <is>
          <t>NCC-Electricity</t>
        </is>
      </c>
      <c r="C10" t="n">
        <v>38.91333333333333</v>
      </c>
      <c r="D10" t="n">
        <v>18346.21993229093</v>
      </c>
      <c r="E10" t="n">
        <v>471.46359257215</v>
      </c>
      <c r="F10" t="n">
        <v>13.08666666666667</v>
      </c>
      <c r="G10" t="n">
        <v>74.83333333333333</v>
      </c>
    </row>
    <row r="11">
      <c r="A11" t="n">
        <v>2045</v>
      </c>
      <c r="B11" t="inlineStr">
        <is>
          <t>NCC-H2</t>
        </is>
      </c>
      <c r="C11" t="n">
        <v>38.91333333333333</v>
      </c>
      <c r="D11" t="n">
        <v>13195.22794323782</v>
      </c>
      <c r="E11" t="n">
        <v>339.0927174037473</v>
      </c>
      <c r="F11" t="n">
        <v>13.08666666666667</v>
      </c>
      <c r="G11" t="n">
        <v>74.83333333333333</v>
      </c>
    </row>
    <row r="12">
      <c r="A12" t="n">
        <v>2050</v>
      </c>
      <c r="B12" t="inlineStr">
        <is>
          <t>NCC-Electricity</t>
        </is>
      </c>
      <c r="C12" t="n">
        <v>52</v>
      </c>
      <c r="D12" t="n">
        <v>25551.72553670143</v>
      </c>
      <c r="E12" t="n">
        <v>491.3793372442583</v>
      </c>
      <c r="F12" t="n">
        <v>0</v>
      </c>
      <c r="G12" t="n">
        <v>100</v>
      </c>
    </row>
    <row r="13">
      <c r="A13" t="n">
        <v>2050</v>
      </c>
      <c r="B13" t="inlineStr">
        <is>
          <t>NCC-H2</t>
        </is>
      </c>
      <c r="C13" t="n">
        <v>52</v>
      </c>
      <c r="D13" t="n">
        <v>14974.90388332558</v>
      </c>
      <c r="E13" t="n">
        <v>287.9789208331842</v>
      </c>
      <c r="F13" t="n">
        <v>0</v>
      </c>
      <c r="G1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NCC_Electricity</t>
        </is>
      </c>
      <c r="C1" s="1" t="inlineStr">
        <is>
          <t>NCC_H2</t>
        </is>
      </c>
    </row>
    <row r="2">
      <c r="A2" t="inlineStr">
        <is>
          <t>Linear Model: Cost = a × Reduction + b</t>
        </is>
      </c>
      <c r="B2" t="inlineStr"/>
      <c r="C2" t="inlineStr"/>
    </row>
    <row r="3">
      <c r="A3" t="inlineStr">
        <is>
          <t>a (slope, MUSD per MtCO2)</t>
        </is>
      </c>
      <c r="B3" t="inlineStr">
        <is>
          <t>4883.65</t>
        </is>
      </c>
      <c r="C3" t="inlineStr">
        <is>
          <t>3916.10</t>
        </is>
      </c>
    </row>
    <row r="4">
      <c r="A4" t="inlineStr">
        <is>
          <t>b (intercept, MUSD)</t>
        </is>
      </c>
      <c r="B4" t="inlineStr">
        <is>
          <t>-43783.50</t>
        </is>
      </c>
      <c r="C4" t="inlineStr">
        <is>
          <t>-30864.72</t>
        </is>
      </c>
    </row>
    <row r="5">
      <c r="A5" t="inlineStr"/>
      <c r="B5" t="inlineStr"/>
      <c r="C5" t="inlineStr"/>
    </row>
    <row r="6">
      <c r="A6" t="inlineStr">
        <is>
          <t>Quadratic Model: Cost = a × Reduction² + b × Reduction + c</t>
        </is>
      </c>
      <c r="B6" t="inlineStr"/>
      <c r="C6" t="inlineStr"/>
    </row>
    <row r="7">
      <c r="A7" t="inlineStr">
        <is>
          <t>a (quadratic coefficient)</t>
        </is>
      </c>
      <c r="B7" t="inlineStr">
        <is>
          <t>94.5859</t>
        </is>
      </c>
      <c r="C7" t="inlineStr">
        <is>
          <t>48.9902</t>
        </is>
      </c>
    </row>
    <row r="8">
      <c r="A8" t="inlineStr">
        <is>
          <t>b (linear coefficient)</t>
        </is>
      </c>
      <c r="B8" t="inlineStr">
        <is>
          <t>-119.28</t>
        </is>
      </c>
      <c r="C8" t="inlineStr">
        <is>
          <t>1324.86</t>
        </is>
      </c>
    </row>
    <row r="9">
      <c r="A9" t="inlineStr">
        <is>
          <t>c (constant)</t>
        </is>
      </c>
      <c r="B9" t="inlineStr">
        <is>
          <t>-744.43</t>
        </is>
      </c>
      <c r="C9" t="inlineStr">
        <is>
          <t>-8572.89</t>
        </is>
      </c>
    </row>
    <row r="10">
      <c r="A10" t="inlineStr"/>
      <c r="B10" t="inlineStr"/>
      <c r="C10" t="inlineStr"/>
    </row>
    <row r="11">
      <c r="A11" t="inlineStr">
        <is>
          <t>Interpretation</t>
        </is>
      </c>
      <c r="B11" t="inlineStr"/>
      <c r="C11" t="inlineStr"/>
    </row>
    <row r="12">
      <c r="A12" t="inlineStr">
        <is>
          <t>Marginal Cost at 25 MtCO2 reduction</t>
        </is>
      </c>
      <c r="B12" t="inlineStr">
        <is>
          <t>$4610 MUSD/MtCO2</t>
        </is>
      </c>
      <c r="C12" t="inlineStr">
        <is>
          <t>$3774 MUSD/MtCO2</t>
        </is>
      </c>
    </row>
    <row r="13">
      <c r="A13" t="inlineStr">
        <is>
          <t>Marginal Cost at 50 MtCO2 reduction</t>
        </is>
      </c>
      <c r="B13" t="inlineStr">
        <is>
          <t>$9339 MUSD/MtCO2</t>
        </is>
      </c>
      <c r="C13" t="inlineStr">
        <is>
          <t>$6224 MUSD/MtCO2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NCC_Electricity</t>
        </is>
      </c>
      <c r="C1" s="1" t="inlineStr">
        <is>
          <t>NCC_H2</t>
        </is>
      </c>
    </row>
    <row r="2">
      <c r="A2" t="inlineStr">
        <is>
          <t>Total Cost (2025-2050)</t>
        </is>
      </c>
      <c r="B2" t="inlineStr">
        <is>
          <t>$250.2 Billion</t>
        </is>
      </c>
      <c r="C2" t="inlineStr">
        <is>
          <t>$190.5 Billion</t>
        </is>
      </c>
    </row>
    <row r="3">
      <c r="A3" t="inlineStr">
        <is>
          <t>Total CAPEX</t>
        </is>
      </c>
      <c r="B3" t="inlineStr">
        <is>
          <t>$10.6 Billion</t>
        </is>
      </c>
      <c r="C3" t="inlineStr">
        <is>
          <t>$9.6 Billion</t>
        </is>
      </c>
    </row>
    <row r="4">
      <c r="A4" t="inlineStr">
        <is>
          <t>Total OPEX</t>
        </is>
      </c>
      <c r="B4" t="inlineStr">
        <is>
          <t>$10.0 Billion</t>
        </is>
      </c>
      <c r="C4" t="inlineStr">
        <is>
          <t>$8.9 Billion</t>
        </is>
      </c>
    </row>
    <row r="5">
      <c r="A5" t="inlineStr">
        <is>
          <t>Total Fuel Cost</t>
        </is>
      </c>
      <c r="B5" t="inlineStr">
        <is>
          <t>$229.6 Billion</t>
        </is>
      </c>
      <c r="C5" t="inlineStr">
        <is>
          <t>$172.0 Billion</t>
        </is>
      </c>
    </row>
    <row r="6">
      <c r="A6" t="inlineStr"/>
      <c r="B6" t="inlineStr"/>
      <c r="C6" t="inlineStr"/>
    </row>
    <row r="7">
      <c r="A7" t="inlineStr">
        <is>
          <t>Final Emissions (2050)</t>
        </is>
      </c>
      <c r="B7" t="inlineStr">
        <is>
          <t>0.00 MtCO2</t>
        </is>
      </c>
      <c r="C7" t="inlineStr">
        <is>
          <t>0.00 MtCO2</t>
        </is>
      </c>
    </row>
    <row r="8">
      <c r="A8" t="inlineStr">
        <is>
          <t>Total Abatement (2050)</t>
        </is>
      </c>
      <c r="B8" t="inlineStr">
        <is>
          <t>52.00 MtCO2</t>
        </is>
      </c>
      <c r="C8" t="inlineStr">
        <is>
          <t>52.00 MtCO2</t>
        </is>
      </c>
    </row>
    <row r="9">
      <c r="A9" t="inlineStr">
        <is>
          <t>Reduction Percentage</t>
        </is>
      </c>
      <c r="B9" t="inlineStr">
        <is>
          <t>100.0%</t>
        </is>
      </c>
      <c r="C9" t="inlineStr">
        <is>
          <t>100.0%</t>
        </is>
      </c>
    </row>
    <row r="10">
      <c r="A10" t="inlineStr"/>
      <c r="B10" t="inlineStr"/>
      <c r="C10" t="inlineStr"/>
    </row>
    <row r="11">
      <c r="A11" t="inlineStr">
        <is>
          <t>Average MAC ($/tCO2)</t>
        </is>
      </c>
      <c r="B11" t="inlineStr">
        <is>
          <t>$327/tCO2</t>
        </is>
      </c>
      <c r="C11" t="inlineStr">
        <is>
          <t>$276/tCO2</t>
        </is>
      </c>
    </row>
    <row r="12">
      <c r="A12" t="inlineStr">
        <is>
          <t>Cost Difference vs Electricity</t>
        </is>
      </c>
      <c r="B12" t="inlineStr">
        <is>
          <t>Baseline</t>
        </is>
      </c>
      <c r="C12" t="inlineStr">
        <is>
          <t>Saves $59.7 Billion</t>
        </is>
      </c>
    </row>
    <row r="13">
      <c r="A13" t="inlineStr"/>
      <c r="B13" t="inlineStr"/>
      <c r="C13" t="inlineStr"/>
    </row>
    <row r="14">
      <c r="A14" t="inlineStr">
        <is>
          <t>Key Advantage</t>
        </is>
      </c>
      <c r="B14" t="inlineStr">
        <is>
          <t>Zero-emission renewable electricity</t>
        </is>
      </c>
      <c r="C14" t="inlineStr">
        <is>
          <t>Lower fuel cost trajectory (H2 price drops 61%)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Heat_Pump_Deployment_Pct</t>
        </is>
      </c>
      <c r="C1" s="1" t="inlineStr">
        <is>
          <t>NCC_Deployment_Pct</t>
        </is>
      </c>
      <c r="D1" s="1" t="inlineStr">
        <is>
          <t>HP_Abatement_MtCO2</t>
        </is>
      </c>
      <c r="E1" s="1" t="inlineStr">
        <is>
          <t>NCC_Abatement_MtCO2</t>
        </is>
      </c>
      <c r="F1" s="1" t="inlineStr">
        <is>
          <t>Total_Abatement_MtCO2</t>
        </is>
      </c>
      <c r="G1" s="1" t="inlineStr">
        <is>
          <t>Elec_Annual_Cost_MUSD</t>
        </is>
      </c>
      <c r="H1" s="1" t="inlineStr">
        <is>
          <t>Elec_Cumulative_Cost_BUSD</t>
        </is>
      </c>
      <c r="I1" s="1" t="inlineStr">
        <is>
          <t>H2_Annual_Cost_MUSD</t>
        </is>
      </c>
      <c r="J1" s="1" t="inlineStr">
        <is>
          <t>H2_Cumulative_Cost_BUSD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2026</v>
      </c>
      <c r="B3" t="n">
        <v>22.71662883882622</v>
      </c>
      <c r="C3" t="n">
        <v>0</v>
      </c>
      <c r="D3" t="n">
        <v>1.014545227053176</v>
      </c>
      <c r="E3" t="n">
        <v>0</v>
      </c>
      <c r="F3" t="n">
        <v>1.014545227053176</v>
      </c>
      <c r="G3" t="n">
        <v>136.9466227362222</v>
      </c>
      <c r="H3" t="n">
        <v>0.1369466227362222</v>
      </c>
      <c r="I3" t="n">
        <v>136.9466227362222</v>
      </c>
      <c r="J3" t="n">
        <v>0.1369466227362222</v>
      </c>
    </row>
    <row r="4">
      <c r="A4" t="n">
        <v>2027</v>
      </c>
      <c r="B4" t="n">
        <v>45.43325767765244</v>
      </c>
      <c r="C4" t="n">
        <v>0</v>
      </c>
      <c r="D4" t="n">
        <v>2.029090454106353</v>
      </c>
      <c r="E4" t="n">
        <v>0</v>
      </c>
      <c r="F4" t="n">
        <v>2.029090454106353</v>
      </c>
      <c r="G4" t="n">
        <v>277.6491397919884</v>
      </c>
      <c r="H4" t="n">
        <v>0.4145957625282106</v>
      </c>
      <c r="I4" t="n">
        <v>277.6491397919884</v>
      </c>
      <c r="J4" t="n">
        <v>0.4145957625282106</v>
      </c>
    </row>
    <row r="5">
      <c r="A5" t="n">
        <v>2028</v>
      </c>
      <c r="B5" t="n">
        <v>68.14988651647866</v>
      </c>
      <c r="C5" t="n">
        <v>0</v>
      </c>
      <c r="D5" t="n">
        <v>3.043635681159529</v>
      </c>
      <c r="E5" t="n">
        <v>0</v>
      </c>
      <c r="F5" t="n">
        <v>3.043635681159529</v>
      </c>
      <c r="G5" t="n">
        <v>422.1361014163686</v>
      </c>
      <c r="H5" t="n">
        <v>0.8367318639445791</v>
      </c>
      <c r="I5" t="n">
        <v>422.1361014163686</v>
      </c>
      <c r="J5" t="n">
        <v>0.8367318639445791</v>
      </c>
    </row>
    <row r="6">
      <c r="A6" t="n">
        <v>2029</v>
      </c>
      <c r="B6" t="n">
        <v>90.86651535530488</v>
      </c>
      <c r="C6" t="n">
        <v>0</v>
      </c>
      <c r="D6" t="n">
        <v>4.058180908212705</v>
      </c>
      <c r="E6" t="n">
        <v>0</v>
      </c>
      <c r="F6" t="n">
        <v>4.058180908212705</v>
      </c>
      <c r="G6" t="n">
        <v>570.3599238609129</v>
      </c>
      <c r="H6" t="n">
        <v>1.407091787805492</v>
      </c>
      <c r="I6" t="n">
        <v>570.3599238609129</v>
      </c>
      <c r="J6" t="n">
        <v>1.407091787805492</v>
      </c>
    </row>
    <row r="7">
      <c r="A7" t="n">
        <v>2030</v>
      </c>
      <c r="B7" t="n">
        <v>100</v>
      </c>
      <c r="C7" t="n">
        <v>1.367081793369935</v>
      </c>
      <c r="D7" t="n">
        <v>4.46609060812387</v>
      </c>
      <c r="E7" t="n">
        <v>0.6066355271420116</v>
      </c>
      <c r="F7" t="n">
        <v>5.072726135265881</v>
      </c>
      <c r="G7" t="n">
        <v>945.5867316922788</v>
      </c>
      <c r="H7" t="n">
        <v>2.352678519497771</v>
      </c>
      <c r="I7" t="n">
        <v>1078.895523920855</v>
      </c>
      <c r="J7" t="n">
        <v>2.485987311726347</v>
      </c>
    </row>
    <row r="8">
      <c r="A8" t="n">
        <v>2031</v>
      </c>
      <c r="B8" t="n">
        <v>100</v>
      </c>
      <c r="C8" t="n">
        <v>3.762187549036783</v>
      </c>
      <c r="D8" t="n">
        <v>4.46609060812387</v>
      </c>
      <c r="E8" t="n">
        <v>1.669451409627144</v>
      </c>
      <c r="F8" t="n">
        <v>6.135542017751014</v>
      </c>
      <c r="G8" t="n">
        <v>1527.437828286036</v>
      </c>
      <c r="H8" t="n">
        <v>3.880116347783807</v>
      </c>
      <c r="I8" t="n">
        <v>1830.964686166123</v>
      </c>
      <c r="J8" t="n">
        <v>4.31695199789247</v>
      </c>
    </row>
    <row r="9">
      <c r="A9" t="n">
        <v>2032</v>
      </c>
      <c r="B9" t="n">
        <v>100</v>
      </c>
      <c r="C9" t="n">
        <v>6.157293304703662</v>
      </c>
      <c r="D9" t="n">
        <v>4.46609060812387</v>
      </c>
      <c r="E9" t="n">
        <v>2.732267292112291</v>
      </c>
      <c r="F9" t="n">
        <v>7.198357900236161</v>
      </c>
      <c r="G9" t="n">
        <v>2146.534332191194</v>
      </c>
      <c r="H9" t="n">
        <v>6.026650679975</v>
      </c>
      <c r="I9" t="n">
        <v>2537.673890736783</v>
      </c>
      <c r="J9" t="n">
        <v>6.854625888629252</v>
      </c>
    </row>
    <row r="10">
      <c r="A10" t="n">
        <v>2033</v>
      </c>
      <c r="B10" t="n">
        <v>100</v>
      </c>
      <c r="C10" t="n">
        <v>8.552399060370529</v>
      </c>
      <c r="D10" t="n">
        <v>4.46609060812387</v>
      </c>
      <c r="E10" t="n">
        <v>3.795083174597431</v>
      </c>
      <c r="F10" t="n">
        <v>8.261173782721301</v>
      </c>
      <c r="G10" t="n">
        <v>2805.190591176348</v>
      </c>
      <c r="H10" t="n">
        <v>8.831841271151349</v>
      </c>
      <c r="I10" t="n">
        <v>3198.939350995661</v>
      </c>
      <c r="J10" t="n">
        <v>10.05356523962491</v>
      </c>
    </row>
    <row r="11">
      <c r="A11" t="n">
        <v>2034</v>
      </c>
      <c r="B11" t="n">
        <v>100</v>
      </c>
      <c r="C11" t="n">
        <v>10.94750481603741</v>
      </c>
      <c r="D11" t="n">
        <v>4.46609060812387</v>
      </c>
      <c r="E11" t="n">
        <v>4.857899057082578</v>
      </c>
      <c r="F11" t="n">
        <v>9.323989665206447</v>
      </c>
      <c r="G11" t="n">
        <v>3506.016194501167</v>
      </c>
      <c r="H11" t="n">
        <v>12.33785746565252</v>
      </c>
      <c r="I11" t="n">
        <v>3814.844853579925</v>
      </c>
      <c r="J11" t="n">
        <v>13.86841009320484</v>
      </c>
    </row>
    <row r="12">
      <c r="A12" t="n">
        <v>2035</v>
      </c>
      <c r="B12" t="n">
        <v>100</v>
      </c>
      <c r="C12" t="n">
        <v>13.34261057170427</v>
      </c>
      <c r="D12" t="n">
        <v>4.46609060812387</v>
      </c>
      <c r="E12" t="n">
        <v>5.920714939567718</v>
      </c>
      <c r="F12" t="n">
        <v>10.38680554769159</v>
      </c>
      <c r="G12" t="n">
        <v>4251.587202810012</v>
      </c>
      <c r="H12" t="n">
        <v>16.58944466846253</v>
      </c>
      <c r="I12" t="n">
        <v>4385.306611852406</v>
      </c>
      <c r="J12" t="n">
        <v>18.25371670505725</v>
      </c>
    </row>
    <row r="13">
      <c r="A13" t="n">
        <v>2036</v>
      </c>
      <c r="B13" t="n">
        <v>100</v>
      </c>
      <c r="C13" t="n">
        <v>18.69699377360416</v>
      </c>
      <c r="D13" t="n">
        <v>4.46609060812387</v>
      </c>
      <c r="E13" t="n">
        <v>8.29669499574122</v>
      </c>
      <c r="F13" t="n">
        <v>12.76278560386509</v>
      </c>
      <c r="G13" t="n">
        <v>5679.313504861749</v>
      </c>
      <c r="H13" t="n">
        <v>22.26875817332428</v>
      </c>
      <c r="I13" t="n">
        <v>5702.833148654546</v>
      </c>
      <c r="J13" t="n">
        <v>23.95654985371179</v>
      </c>
    </row>
    <row r="14">
      <c r="A14" t="n">
        <v>2037</v>
      </c>
      <c r="B14" t="n">
        <v>100</v>
      </c>
      <c r="C14" t="n">
        <v>24.05137697550403</v>
      </c>
      <c r="D14" t="n">
        <v>4.46609060812387</v>
      </c>
      <c r="E14" t="n">
        <v>10.67267505191472</v>
      </c>
      <c r="F14" t="n">
        <v>15.13876566003859</v>
      </c>
      <c r="G14" t="n">
        <v>7100.491181457822</v>
      </c>
      <c r="H14" t="n">
        <v>29.3692493547821</v>
      </c>
      <c r="I14" t="n">
        <v>6919.958946505451</v>
      </c>
      <c r="J14" t="n">
        <v>30.87650880021724</v>
      </c>
    </row>
    <row r="15">
      <c r="A15" t="n">
        <v>2038</v>
      </c>
      <c r="B15" t="n">
        <v>100</v>
      </c>
      <c r="C15" t="n">
        <v>29.4057601774039</v>
      </c>
      <c r="D15" t="n">
        <v>4.46609060812387</v>
      </c>
      <c r="E15" t="n">
        <v>13.04865510808821</v>
      </c>
      <c r="F15" t="n">
        <v>17.51474571621208</v>
      </c>
      <c r="G15" t="n">
        <v>8515.204019235394</v>
      </c>
      <c r="H15" t="n">
        <v>37.8844533740175</v>
      </c>
      <c r="I15" t="n">
        <v>8036.766418043288</v>
      </c>
      <c r="J15" t="n">
        <v>38.91327521826053</v>
      </c>
    </row>
    <row r="16">
      <c r="A16" t="n">
        <v>2039</v>
      </c>
      <c r="B16" t="n">
        <v>100</v>
      </c>
      <c r="C16" t="n">
        <v>34.76014337930377</v>
      </c>
      <c r="D16" t="n">
        <v>4.46609060812387</v>
      </c>
      <c r="E16" t="n">
        <v>15.4246351642617</v>
      </c>
      <c r="F16" t="n">
        <v>19.89072577238557</v>
      </c>
      <c r="G16" t="n">
        <v>9923.368231557304</v>
      </c>
      <c r="H16" t="n">
        <v>47.8078216055748</v>
      </c>
      <c r="I16" t="n">
        <v>9053.174274442623</v>
      </c>
      <c r="J16" t="n">
        <v>47.96644949270316</v>
      </c>
    </row>
    <row r="17">
      <c r="A17" t="n">
        <v>2040</v>
      </c>
      <c r="B17" t="n">
        <v>100</v>
      </c>
      <c r="C17" t="n">
        <v>40.11452658120364</v>
      </c>
      <c r="D17" t="n">
        <v>4.46609060812387</v>
      </c>
      <c r="E17" t="n">
        <v>17.8006152204352</v>
      </c>
      <c r="F17" t="n">
        <v>22.26670582855907</v>
      </c>
      <c r="G17" t="n">
        <v>11325.06760506072</v>
      </c>
      <c r="H17" t="n">
        <v>59.13288921063551</v>
      </c>
      <c r="I17" t="n">
        <v>9969.265178527892</v>
      </c>
      <c r="J17" t="n">
        <v>57.93571467123105</v>
      </c>
    </row>
    <row r="18">
      <c r="A18" t="n">
        <v>2041</v>
      </c>
      <c r="B18" t="n">
        <v>100</v>
      </c>
      <c r="C18" t="n">
        <v>45.46890978310351</v>
      </c>
      <c r="D18" t="n">
        <v>4.46609060812387</v>
      </c>
      <c r="E18" t="n">
        <v>20.17659527660869</v>
      </c>
      <c r="F18" t="n">
        <v>24.64268588473256</v>
      </c>
      <c r="G18" t="n">
        <v>12735.78804531641</v>
      </c>
      <c r="H18" t="n">
        <v>71.86867725595192</v>
      </c>
      <c r="I18" t="n">
        <v>10806.05049053696</v>
      </c>
      <c r="J18" t="n">
        <v>68.74176516176801</v>
      </c>
    </row>
    <row r="19">
      <c r="A19" t="n">
        <v>2042</v>
      </c>
      <c r="B19" t="n">
        <v>100</v>
      </c>
      <c r="C19" t="n">
        <v>50.82329298500339</v>
      </c>
      <c r="D19" t="n">
        <v>4.46609060812387</v>
      </c>
      <c r="E19" t="n">
        <v>22.55257533278219</v>
      </c>
      <c r="F19" t="n">
        <v>27.01866594090606</v>
      </c>
      <c r="G19" t="n">
        <v>14143.29701282214</v>
      </c>
      <c r="H19" t="n">
        <v>86.01197426877405</v>
      </c>
      <c r="I19" t="n">
        <v>11547.07118798389</v>
      </c>
      <c r="J19" t="n">
        <v>80.28883634975189</v>
      </c>
    </row>
    <row r="20">
      <c r="A20" t="n">
        <v>2043</v>
      </c>
      <c r="B20" t="n">
        <v>100</v>
      </c>
      <c r="C20" t="n">
        <v>56.17767618690326</v>
      </c>
      <c r="D20" t="n">
        <v>4.46609060812387</v>
      </c>
      <c r="E20" t="n">
        <v>24.92855538895569</v>
      </c>
      <c r="F20" t="n">
        <v>29.39464599707956</v>
      </c>
      <c r="G20" t="n">
        <v>15547.51072094075</v>
      </c>
      <c r="H20" t="n">
        <v>101.5594849897148</v>
      </c>
      <c r="I20" t="n">
        <v>12192.2479835333</v>
      </c>
      <c r="J20" t="n">
        <v>92.4810843332852</v>
      </c>
    </row>
    <row r="21">
      <c r="A21" t="n">
        <v>2044</v>
      </c>
      <c r="B21" t="n">
        <v>100</v>
      </c>
      <c r="C21" t="n">
        <v>61.53205938880313</v>
      </c>
      <c r="D21" t="n">
        <v>4.46609060812387</v>
      </c>
      <c r="E21" t="n">
        <v>27.30453544512918</v>
      </c>
      <c r="F21" t="n">
        <v>31.77062605325305</v>
      </c>
      <c r="G21" t="n">
        <v>16948.51295630939</v>
      </c>
      <c r="H21" t="n">
        <v>118.5079979460242</v>
      </c>
      <c r="I21" t="n">
        <v>12741.6625392646</v>
      </c>
      <c r="J21" t="n">
        <v>105.2227468725498</v>
      </c>
    </row>
    <row r="22">
      <c r="A22" t="n">
        <v>2045</v>
      </c>
      <c r="B22" t="n">
        <v>100</v>
      </c>
      <c r="C22" t="n">
        <v>66.886442590703</v>
      </c>
      <c r="D22" t="n">
        <v>4.46609060812387</v>
      </c>
      <c r="E22" t="n">
        <v>29.68051550130268</v>
      </c>
      <c r="F22" t="n">
        <v>34.14660610942655</v>
      </c>
      <c r="G22" t="n">
        <v>18346.21993229093</v>
      </c>
      <c r="H22" t="n">
        <v>136.8542178783151</v>
      </c>
      <c r="I22" t="n">
        <v>13195.22794323782</v>
      </c>
      <c r="J22" t="n">
        <v>118.4179748157876</v>
      </c>
    </row>
    <row r="23">
      <c r="A23" t="n">
        <v>2046</v>
      </c>
      <c r="B23" t="n">
        <v>100</v>
      </c>
      <c r="C23" t="n">
        <v>72.44478866829974</v>
      </c>
      <c r="D23" t="n">
        <v>4.46609060812387</v>
      </c>
      <c r="E23" t="n">
        <v>32.14700303641111</v>
      </c>
      <c r="F23" t="n">
        <v>36.61309364453498</v>
      </c>
      <c r="G23" t="n">
        <v>19794.09240158749</v>
      </c>
      <c r="H23" t="n">
        <v>156.6483102799026</v>
      </c>
      <c r="I23" t="n">
        <v>13712.24690830868</v>
      </c>
      <c r="J23" t="n">
        <v>132.1302217240963</v>
      </c>
    </row>
    <row r="24">
      <c r="A24" t="n">
        <v>2047</v>
      </c>
      <c r="B24" t="n">
        <v>100</v>
      </c>
      <c r="C24" t="n">
        <v>78.00313474589649</v>
      </c>
      <c r="D24" t="n">
        <v>4.46609060812387</v>
      </c>
      <c r="E24" t="n">
        <v>34.61349057151956</v>
      </c>
      <c r="F24" t="n">
        <v>39.07958117964343</v>
      </c>
      <c r="G24" t="n">
        <v>21238.54568202197</v>
      </c>
      <c r="H24" t="n">
        <v>177.8868559619246</v>
      </c>
      <c r="I24" t="n">
        <v>14148.6881526278</v>
      </c>
      <c r="J24" t="n">
        <v>146.2789098767241</v>
      </c>
    </row>
    <row r="25">
      <c r="A25" t="n">
        <v>2048</v>
      </c>
      <c r="B25" t="n">
        <v>100</v>
      </c>
      <c r="C25" t="n">
        <v>83.56148082349323</v>
      </c>
      <c r="D25" t="n">
        <v>4.46609060812387</v>
      </c>
      <c r="E25" t="n">
        <v>37.07997810662799</v>
      </c>
      <c r="F25" t="n">
        <v>41.54606871475186</v>
      </c>
      <c r="G25" t="n">
        <v>22679.6635602315</v>
      </c>
      <c r="H25" t="n">
        <v>200.5665195221561</v>
      </c>
      <c r="I25" t="n">
        <v>14504.64249258753</v>
      </c>
      <c r="J25" t="n">
        <v>160.7835523693116</v>
      </c>
    </row>
    <row r="26">
      <c r="A26" t="n">
        <v>2049</v>
      </c>
      <c r="B26" t="n">
        <v>100</v>
      </c>
      <c r="C26" t="n">
        <v>89.11982690108994</v>
      </c>
      <c r="D26" t="n">
        <v>4.46609060812387</v>
      </c>
      <c r="E26" t="n">
        <v>39.54646564173642</v>
      </c>
      <c r="F26" t="n">
        <v>44.01255624986029</v>
      </c>
      <c r="G26" t="n">
        <v>24117.36224957893</v>
      </c>
      <c r="H26" t="n">
        <v>224.683881771735</v>
      </c>
      <c r="I26" t="n">
        <v>14780.01859236244</v>
      </c>
      <c r="J26" t="n">
        <v>175.563570961674</v>
      </c>
    </row>
    <row r="27">
      <c r="A27" t="n">
        <v>2050</v>
      </c>
      <c r="B27" t="n">
        <v>100</v>
      </c>
      <c r="C27" t="n">
        <v>94.67817297868667</v>
      </c>
      <c r="D27" t="n">
        <v>4.46609060812387</v>
      </c>
      <c r="E27" t="n">
        <v>42.01295317684485</v>
      </c>
      <c r="F27" t="n">
        <v>46.47904378496872</v>
      </c>
      <c r="G27" t="n">
        <v>25551.72553670143</v>
      </c>
      <c r="H27" t="n">
        <v>250.2356073084364</v>
      </c>
      <c r="I27" t="n">
        <v>14974.90388332558</v>
      </c>
      <c r="J27" t="n">
        <v>190.5384748449996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H2_Price_USD_per_kg</t>
        </is>
      </c>
      <c r="C1" s="1" t="inlineStr">
        <is>
          <t>RE_Price_USD_per_MWh</t>
        </is>
      </c>
      <c r="D1" s="1" t="inlineStr">
        <is>
          <t>Grid_Price_USD_per_MWh</t>
        </is>
      </c>
      <c r="E1" s="1" t="inlineStr">
        <is>
          <t>Grid_EF_tCO2_per_MWh</t>
        </is>
      </c>
      <c r="F1" s="1" t="inlineStr">
        <is>
          <t>H2_Fuel_Cost_BUSD</t>
        </is>
      </c>
      <c r="G1" s="1" t="inlineStr">
        <is>
          <t>RE_Fuel_Cost_BUSD</t>
        </is>
      </c>
      <c r="H1" s="1" t="inlineStr">
        <is>
          <t>Cost_Difference_BUSD</t>
        </is>
      </c>
    </row>
    <row r="2">
      <c r="A2" t="n">
        <v>2025</v>
      </c>
      <c r="B2" t="n">
        <v>6.730751129518072</v>
      </c>
      <c r="C2" t="n">
        <v>129.2881844445244</v>
      </c>
      <c r="D2" t="n">
        <v>100</v>
      </c>
      <c r="E2" t="n">
        <v>0.436</v>
      </c>
      <c r="F2" t="n">
        <v>0</v>
      </c>
      <c r="G2" t="n">
        <v>0</v>
      </c>
      <c r="H2" t="n">
        <v>0</v>
      </c>
    </row>
    <row r="3">
      <c r="A3" t="n">
        <v>2026</v>
      </c>
      <c r="B3" t="n">
        <v>6.560264956886368</v>
      </c>
      <c r="C3" t="n">
        <v>134.4597118223054</v>
      </c>
      <c r="D3" t="n">
        <v>103.66</v>
      </c>
      <c r="E3" t="n">
        <v>0.4188</v>
      </c>
      <c r="F3" t="n">
        <v>0</v>
      </c>
      <c r="G3" t="n">
        <v>0</v>
      </c>
      <c r="H3" t="n">
        <v>0</v>
      </c>
    </row>
    <row r="4">
      <c r="A4" t="n">
        <v>2027</v>
      </c>
      <c r="B4" t="n">
        <v>6.389778784254665</v>
      </c>
      <c r="C4" t="n">
        <v>139.8381002951976</v>
      </c>
      <c r="D4" t="n">
        <v>107.31</v>
      </c>
      <c r="E4" t="n">
        <v>0.4016</v>
      </c>
      <c r="F4" t="n">
        <v>0</v>
      </c>
      <c r="G4" t="n">
        <v>0</v>
      </c>
      <c r="H4" t="n">
        <v>0</v>
      </c>
    </row>
    <row r="5">
      <c r="A5" t="n">
        <v>2028</v>
      </c>
      <c r="B5" t="n">
        <v>6.219292611622962</v>
      </c>
      <c r="C5" t="n">
        <v>145.4316243070055</v>
      </c>
      <c r="D5" t="n">
        <v>110.97</v>
      </c>
      <c r="E5" t="n">
        <v>0.3843999999999999</v>
      </c>
      <c r="F5" t="n">
        <v>0</v>
      </c>
      <c r="G5" t="n">
        <v>0</v>
      </c>
      <c r="H5" t="n">
        <v>0</v>
      </c>
    </row>
    <row r="6">
      <c r="A6" t="n">
        <v>2029</v>
      </c>
      <c r="B6" t="n">
        <v>6.048805516182376</v>
      </c>
      <c r="C6" t="n">
        <v>151.2488892792858</v>
      </c>
      <c r="D6" t="n">
        <v>114.62</v>
      </c>
      <c r="E6" t="n">
        <v>0.3671999999999999</v>
      </c>
      <c r="F6" t="n">
        <v>0</v>
      </c>
      <c r="G6" t="n">
        <v>0</v>
      </c>
      <c r="H6" t="n">
        <v>0</v>
      </c>
    </row>
    <row r="7">
      <c r="A7" t="n">
        <v>2030</v>
      </c>
      <c r="B7" t="n">
        <v>5.878319343550674</v>
      </c>
      <c r="C7" t="n">
        <v>157.2988448504572</v>
      </c>
      <c r="D7" t="n">
        <v>118.28</v>
      </c>
      <c r="E7" t="n">
        <v>0.35</v>
      </c>
      <c r="F7" t="n">
        <v>0.0001928674404043785</v>
      </c>
      <c r="G7" t="n">
        <v>0.0001290242321479093</v>
      </c>
      <c r="H7" t="n">
        <v>-6.384320825646918e-05</v>
      </c>
    </row>
    <row r="8">
      <c r="A8" t="n">
        <v>2031</v>
      </c>
      <c r="B8" t="n">
        <v>5.705731935093315</v>
      </c>
      <c r="C8" t="n">
        <v>163.5907986444755</v>
      </c>
      <c r="D8" t="n">
        <v>121.93</v>
      </c>
      <c r="E8" t="n">
        <v>0.3359999999999999</v>
      </c>
      <c r="F8" t="n">
        <v>0.0005151848074643909</v>
      </c>
      <c r="G8" t="n">
        <v>0.0003692755594783376</v>
      </c>
      <c r="H8" t="n">
        <v>-0.0001459092479860534</v>
      </c>
    </row>
    <row r="9">
      <c r="A9" t="n">
        <v>2032</v>
      </c>
      <c r="B9" t="n">
        <v>5.533144526635955</v>
      </c>
      <c r="C9" t="n">
        <v>170.1344305902545</v>
      </c>
      <c r="D9" t="n">
        <v>125.59</v>
      </c>
      <c r="E9" t="n">
        <v>0.322</v>
      </c>
      <c r="F9" t="n">
        <v>0.0008176606499475189</v>
      </c>
      <c r="G9" t="n">
        <v>0.0006285405542237665</v>
      </c>
      <c r="H9" t="n">
        <v>-0.0001891200957237524</v>
      </c>
    </row>
    <row r="10">
      <c r="A10" t="n">
        <v>2033</v>
      </c>
      <c r="B10" t="n">
        <v>5.360557118178597</v>
      </c>
      <c r="C10" t="n">
        <v>176.9398078138647</v>
      </c>
      <c r="D10" t="n">
        <v>129.24</v>
      </c>
      <c r="E10" t="n">
        <v>0.308</v>
      </c>
      <c r="F10" t="n">
        <v>0.001100294967853757</v>
      </c>
      <c r="G10" t="n">
        <v>0.0009079559076536631</v>
      </c>
      <c r="H10" t="n">
        <v>-0.0001923390602000936</v>
      </c>
    </row>
    <row r="11">
      <c r="A11" t="n">
        <v>2034</v>
      </c>
      <c r="B11" t="n">
        <v>5.187969709721238</v>
      </c>
      <c r="C11" t="n">
        <v>184.0174001264193</v>
      </c>
      <c r="D11" t="n">
        <v>132.9</v>
      </c>
      <c r="E11" t="n">
        <v>0.294</v>
      </c>
      <c r="F11" t="n">
        <v>0.001363087761183107</v>
      </c>
      <c r="G11" t="n">
        <v>0.001208718824471195</v>
      </c>
      <c r="H11" t="n">
        <v>-0.0001543689367119122</v>
      </c>
    </row>
    <row r="12">
      <c r="A12" t="n">
        <v>2035</v>
      </c>
      <c r="B12" t="n">
        <v>5.015382301263879</v>
      </c>
      <c r="C12" t="n">
        <v>191.3780961314761</v>
      </c>
      <c r="D12" t="n">
        <v>136.55</v>
      </c>
      <c r="E12" t="n">
        <v>0.28</v>
      </c>
      <c r="F12" t="n">
        <v>0.001606039029935566</v>
      </c>
      <c r="G12" t="n">
        <v>0.001532090045181882</v>
      </c>
      <c r="H12" t="n">
        <v>-7.394898475368453e-05</v>
      </c>
    </row>
    <row r="13">
      <c r="A13" t="n">
        <v>2036</v>
      </c>
      <c r="B13" t="n">
        <v>4.844896128632175</v>
      </c>
      <c r="C13" t="n">
        <v>191.3780961314761</v>
      </c>
      <c r="D13" t="n">
        <v>140.21</v>
      </c>
      <c r="E13" t="n">
        <v>0.264</v>
      </c>
      <c r="F13" t="n">
        <v>0.002174039826019073</v>
      </c>
      <c r="G13" t="n">
        <v>0.002146917043064656</v>
      </c>
      <c r="H13" t="n">
        <v>-2.712278295441623e-05</v>
      </c>
    </row>
    <row r="14">
      <c r="A14" t="n">
        <v>2037</v>
      </c>
      <c r="B14" t="n">
        <v>4.674409956000472</v>
      </c>
      <c r="C14" t="n">
        <v>191.3780961314761</v>
      </c>
      <c r="D14" t="n">
        <v>143.86</v>
      </c>
      <c r="E14" t="n">
        <v>0.248</v>
      </c>
      <c r="F14" t="n">
        <v>0.002698223903755598</v>
      </c>
      <c r="G14" t="n">
        <v>0.002761744040947429</v>
      </c>
      <c r="H14" t="n">
        <v>6.352013719183132e-05</v>
      </c>
    </row>
    <row r="15">
      <c r="A15" t="n">
        <v>2038</v>
      </c>
      <c r="B15" t="n">
        <v>4.503922860559887</v>
      </c>
      <c r="C15" t="n">
        <v>191.3780961314761</v>
      </c>
      <c r="D15" t="n">
        <v>147.52</v>
      </c>
      <c r="E15" t="n">
        <v>0.232</v>
      </c>
      <c r="F15" t="n">
        <v>0.003178590611883624</v>
      </c>
      <c r="G15" t="n">
        <v>0.003376571038830201</v>
      </c>
      <c r="H15" t="n">
        <v>0.0001979804269465774</v>
      </c>
    </row>
    <row r="16">
      <c r="A16" t="n">
        <v>2039</v>
      </c>
      <c r="B16" t="n">
        <v>4.333436687928183</v>
      </c>
      <c r="C16" t="n">
        <v>191.3780961314761</v>
      </c>
      <c r="D16" t="n">
        <v>151.17</v>
      </c>
      <c r="E16" t="n">
        <v>0.216</v>
      </c>
      <c r="F16" t="n">
        <v>0.003615141134340454</v>
      </c>
      <c r="G16" t="n">
        <v>0.003991398036712974</v>
      </c>
      <c r="H16" t="n">
        <v>0.0003762569023725202</v>
      </c>
    </row>
    <row r="17">
      <c r="A17" t="n">
        <v>2040</v>
      </c>
      <c r="B17" t="n">
        <v>4.162950515296481</v>
      </c>
      <c r="C17" t="n">
        <v>191.3780961314761</v>
      </c>
      <c r="D17" t="n">
        <v>154.83</v>
      </c>
      <c r="E17" t="n">
        <v>0.2</v>
      </c>
      <c r="F17" t="n">
        <v>0.004007874938450307</v>
      </c>
      <c r="G17" t="n">
        <v>0.004606225034595746</v>
      </c>
      <c r="H17" t="n">
        <v>0.0005983500961454389</v>
      </c>
    </row>
    <row r="18">
      <c r="A18" t="n">
        <v>2041</v>
      </c>
      <c r="B18" t="n">
        <v>3.992464342664777</v>
      </c>
      <c r="C18" t="n">
        <v>191.3780961314761</v>
      </c>
      <c r="D18" t="n">
        <v>158.48</v>
      </c>
      <c r="E18" t="n">
        <v>0.184</v>
      </c>
      <c r="F18" t="n">
        <v>0.004356792024213179</v>
      </c>
      <c r="G18" t="n">
        <v>0.005221052032478518</v>
      </c>
      <c r="H18" t="n">
        <v>0.0008642600082653393</v>
      </c>
    </row>
    <row r="19">
      <c r="A19" t="n">
        <v>2042</v>
      </c>
      <c r="B19" t="n">
        <v>3.82197724722419</v>
      </c>
      <c r="C19" t="n">
        <v>191.3780961314761</v>
      </c>
      <c r="D19" t="n">
        <v>162.14</v>
      </c>
      <c r="E19" t="n">
        <v>0.168</v>
      </c>
      <c r="F19" t="n">
        <v>0.004661891266024603</v>
      </c>
      <c r="G19" t="n">
        <v>0.005835879030361293</v>
      </c>
      <c r="H19" t="n">
        <v>0.00117398776433669</v>
      </c>
    </row>
    <row r="20">
      <c r="A20" t="n">
        <v>2043</v>
      </c>
      <c r="B20" t="n">
        <v>3.651491074592487</v>
      </c>
      <c r="C20" t="n">
        <v>191.3780961314761</v>
      </c>
      <c r="D20" t="n">
        <v>165.79</v>
      </c>
      <c r="E20" t="n">
        <v>0.152</v>
      </c>
      <c r="F20" t="n">
        <v>0.004923174796507781</v>
      </c>
      <c r="G20" t="n">
        <v>0.006450706028244065</v>
      </c>
      <c r="H20" t="n">
        <v>0.001527531231736284</v>
      </c>
    </row>
    <row r="21">
      <c r="A21" t="n">
        <v>2044</v>
      </c>
      <c r="B21" t="n">
        <v>3.481004901960784</v>
      </c>
      <c r="C21" t="n">
        <v>191.3780961314761</v>
      </c>
      <c r="D21" t="n">
        <v>169.45</v>
      </c>
      <c r="E21" t="n">
        <v>0.136</v>
      </c>
      <c r="F21" t="n">
        <v>0.005140641608643978</v>
      </c>
      <c r="G21" t="n">
        <v>0.007065533026126838</v>
      </c>
      <c r="H21" t="n">
        <v>0.001924891417482861</v>
      </c>
    </row>
    <row r="22">
      <c r="A22" t="n">
        <v>2045</v>
      </c>
      <c r="B22" t="n">
        <v>3.310517806520199</v>
      </c>
      <c r="C22" t="n">
        <v>191.3780961314761</v>
      </c>
      <c r="D22" t="n">
        <v>173.1</v>
      </c>
      <c r="E22" t="n">
        <v>0.12</v>
      </c>
      <c r="F22" t="n">
        <v>0.005314290221071521</v>
      </c>
      <c r="G22" t="n">
        <v>0.007680360024009609</v>
      </c>
      <c r="H22" t="n">
        <v>0.002366069802938089</v>
      </c>
    </row>
    <row r="23">
      <c r="A23" t="n">
        <v>2046</v>
      </c>
      <c r="B23" t="n">
        <v>3.173646793054572</v>
      </c>
      <c r="C23" t="n">
        <v>191.3780961314761</v>
      </c>
      <c r="D23" t="n">
        <v>176.76</v>
      </c>
      <c r="E23" t="n">
        <v>0.11</v>
      </c>
      <c r="F23" t="n">
        <v>0.005517940109535977</v>
      </c>
      <c r="G23" t="n">
        <v>0.008318607437991803</v>
      </c>
      <c r="H23" t="n">
        <v>0.002800667328455826</v>
      </c>
    </row>
    <row r="24">
      <c r="A24" t="n">
        <v>2047</v>
      </c>
      <c r="B24" t="n">
        <v>3.036774856780061</v>
      </c>
      <c r="C24" t="n">
        <v>191.3780961314761</v>
      </c>
      <c r="D24" t="n">
        <v>180.41</v>
      </c>
      <c r="E24" t="n">
        <v>0.1</v>
      </c>
      <c r="F24" t="n">
        <v>0.005685071000312776</v>
      </c>
      <c r="G24" t="n">
        <v>0.008956854851973998</v>
      </c>
      <c r="H24" t="n">
        <v>0.003271783851661223</v>
      </c>
    </row>
    <row r="25">
      <c r="A25" t="n">
        <v>2048</v>
      </c>
      <c r="B25" t="n">
        <v>2.899903843314434</v>
      </c>
      <c r="C25" t="n">
        <v>191.3780961314761</v>
      </c>
      <c r="D25" t="n">
        <v>184.07</v>
      </c>
      <c r="E25" t="n">
        <v>0.09</v>
      </c>
      <c r="F25" t="n">
        <v>0.005815686225434243</v>
      </c>
      <c r="G25" t="n">
        <v>0.009595102265956189</v>
      </c>
      <c r="H25" t="n">
        <v>0.003779416040521946</v>
      </c>
    </row>
    <row r="26">
      <c r="A26" t="n">
        <v>2049</v>
      </c>
      <c r="B26" t="n">
        <v>2.763031907039925</v>
      </c>
      <c r="C26" t="n">
        <v>191.3780961314761</v>
      </c>
      <c r="D26" t="n">
        <v>187.72</v>
      </c>
      <c r="E26" t="n">
        <v>0.08</v>
      </c>
      <c r="F26" t="n">
        <v>0.005909782206662078</v>
      </c>
      <c r="G26" t="n">
        <v>0.01023334967993838</v>
      </c>
      <c r="H26" t="n">
        <v>0.004323567473276301</v>
      </c>
    </row>
    <row r="27">
      <c r="A27" t="n">
        <v>2050</v>
      </c>
      <c r="B27" t="n">
        <v>2.626159970765414</v>
      </c>
      <c r="C27" t="n">
        <v>191.3780961314761</v>
      </c>
      <c r="D27" t="n">
        <v>191.38</v>
      </c>
      <c r="E27" t="n">
        <v>0.07000000000000001</v>
      </c>
      <c r="F27" t="n">
        <v>0.005967360671563936</v>
      </c>
      <c r="G27" t="n">
        <v>0.01087159709392057</v>
      </c>
      <c r="H27" t="n">
        <v>0.004904236422356637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Scenario</t>
        </is>
      </c>
      <c r="C1" s="1" t="inlineStr">
        <is>
          <t>H2_Total_Cost_BUSD</t>
        </is>
      </c>
      <c r="D1" s="1" t="inlineStr">
        <is>
          <t>Elec_Total_Cost_BUSD</t>
        </is>
      </c>
      <c r="E1" s="1" t="inlineStr">
        <is>
          <t>Preferred_Scenario</t>
        </is>
      </c>
    </row>
    <row r="2">
      <c r="A2" t="inlineStr">
        <is>
          <t>H2 Price ($/kg)</t>
        </is>
      </c>
      <c r="B2" t="inlineStr">
        <is>
          <t>Low ($2/kg by 2050)</t>
        </is>
      </c>
      <c r="C2" t="inlineStr">
        <is>
          <t>162.0</t>
        </is>
      </c>
      <c r="D2" t="inlineStr">
        <is>
          <t>250.2</t>
        </is>
      </c>
      <c r="E2" t="inlineStr">
        <is>
          <t>H2 (strongly preferred)</t>
        </is>
      </c>
    </row>
    <row r="3">
      <c r="A3" t="inlineStr">
        <is>
          <t>H2 Price ($/kg)</t>
        </is>
      </c>
      <c r="B3" t="inlineStr">
        <is>
          <t>Base ($2.63/kg by 2050)</t>
        </is>
      </c>
      <c r="C3" t="inlineStr">
        <is>
          <t>190.5</t>
        </is>
      </c>
      <c r="D3" t="inlineStr">
        <is>
          <t>250.2</t>
        </is>
      </c>
      <c r="E3" t="inlineStr">
        <is>
          <t>H2 (preferred)</t>
        </is>
      </c>
    </row>
    <row r="4">
      <c r="A4" t="inlineStr">
        <is>
          <t>H2 Price ($/kg)</t>
        </is>
      </c>
      <c r="B4" t="inlineStr">
        <is>
          <t>High ($4/kg by 2050)</t>
        </is>
      </c>
      <c r="C4" t="inlineStr">
        <is>
          <t>228.6</t>
        </is>
      </c>
      <c r="D4" t="inlineStr">
        <is>
          <t>250.2</t>
        </is>
      </c>
      <c r="E4" t="inlineStr">
        <is>
          <t>H2 (slightly preferred)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RE Price ($/MWh)</t>
        </is>
      </c>
      <c r="B6" t="inlineStr">
        <is>
          <t>Low ($150/MWh)</t>
        </is>
      </c>
      <c r="C6" t="inlineStr">
        <is>
          <t>190.5</t>
        </is>
      </c>
      <c r="D6" t="inlineStr">
        <is>
          <t>212.7</t>
        </is>
      </c>
      <c r="E6" t="inlineStr">
        <is>
          <t>Electricity (preferred)</t>
        </is>
      </c>
    </row>
    <row r="7">
      <c r="A7" t="inlineStr">
        <is>
          <t>RE Price ($/MWh)</t>
        </is>
      </c>
      <c r="B7" t="inlineStr">
        <is>
          <t>Base ($191/MWh)</t>
        </is>
      </c>
      <c r="C7" t="inlineStr">
        <is>
          <t>190.5</t>
        </is>
      </c>
      <c r="D7" t="inlineStr">
        <is>
          <t>250.2</t>
        </is>
      </c>
      <c r="E7" t="inlineStr">
        <is>
          <t>H2 (preferred)</t>
        </is>
      </c>
    </row>
    <row r="8">
      <c r="A8" t="inlineStr">
        <is>
          <t>RE Price ($/MWh)</t>
        </is>
      </c>
      <c r="B8" t="inlineStr">
        <is>
          <t>High ($250/MWh)</t>
        </is>
      </c>
      <c r="C8" t="inlineStr">
        <is>
          <t>190.5</t>
        </is>
      </c>
      <c r="D8" t="inlineStr">
        <is>
          <t>312.8</t>
        </is>
      </c>
      <c r="E8" t="inlineStr">
        <is>
          <t>H2 (strongly preferred)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NCC CAPEX Change</t>
        </is>
      </c>
      <c r="B10" t="inlineStr">
        <is>
          <t>-20% CAPEX</t>
        </is>
      </c>
      <c r="C10" t="inlineStr">
        <is>
          <t>181.0</t>
        </is>
      </c>
      <c r="D10" t="inlineStr">
        <is>
          <t>237.7</t>
        </is>
      </c>
      <c r="E10" t="inlineStr">
        <is>
          <t>Similar</t>
        </is>
      </c>
    </row>
    <row r="11">
      <c r="A11" t="inlineStr">
        <is>
          <t>NCC CAPEX Change</t>
        </is>
      </c>
      <c r="B11" t="inlineStr">
        <is>
          <t>+20% CAPEX</t>
        </is>
      </c>
      <c r="C11" t="inlineStr">
        <is>
          <t>200.1</t>
        </is>
      </c>
      <c r="D11" t="inlineStr">
        <is>
          <t>262.7</t>
        </is>
      </c>
      <c r="E11" t="inlineStr">
        <is>
          <t>Similar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Discount Rate</t>
        </is>
      </c>
      <c r="B13" t="inlineStr">
        <is>
          <t>5% discount rate</t>
        </is>
      </c>
      <c r="C13" t="inlineStr">
        <is>
          <t>171.5</t>
        </is>
      </c>
      <c r="D13" t="inlineStr">
        <is>
          <t>225.2</t>
        </is>
      </c>
      <c r="E13" t="inlineStr">
        <is>
          <t>H2 (preferred)</t>
        </is>
      </c>
    </row>
    <row r="14">
      <c r="A14" t="inlineStr">
        <is>
          <t>Discount Rate</t>
        </is>
      </c>
      <c r="B14" t="inlineStr">
        <is>
          <t>10% discount rate</t>
        </is>
      </c>
      <c r="C14" t="inlineStr">
        <is>
          <t>142.9</t>
        </is>
      </c>
      <c r="D14" t="inlineStr">
        <is>
          <t>187.7</t>
        </is>
      </c>
      <c r="E14" t="inlineStr">
        <is>
          <t>H2 (preferred)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Cost_Category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Notes</t>
        </is>
      </c>
    </row>
    <row r="2">
      <c r="A2">
        <f>== CAPEX (Capital Expenditure) ===</f>
        <v/>
      </c>
      <c r="B2" t="inlineStr"/>
      <c r="C2" t="inlineStr"/>
      <c r="D2" t="inlineStr"/>
    </row>
    <row r="3">
      <c r="A3" t="inlineStr">
        <is>
          <t>Heat Pump CAPEX (2025)</t>
        </is>
      </c>
      <c r="B3" t="inlineStr">
        <is>
          <t>$800/tCO2</t>
        </is>
      </c>
      <c r="C3" t="inlineStr">
        <is>
          <t>Kosmadakis et al. 2020 (Energy Conv Mgmt), McKinsey 2024</t>
        </is>
      </c>
      <c r="D3" t="inlineStr">
        <is>
          <t>TRL 8, commercially available</t>
        </is>
      </c>
    </row>
    <row r="4">
      <c r="A4" t="inlineStr">
        <is>
          <t>Heat Pump CAPEX (2030)</t>
        </is>
      </c>
      <c r="B4" t="inlineStr">
        <is>
          <t>$640/tCO2</t>
        </is>
      </c>
      <c r="C4" t="inlineStr">
        <is>
          <t>Learning curve (-20%)</t>
        </is>
      </c>
      <c r="D4" t="inlineStr">
        <is>
          <t>20% cost reduction from scale</t>
        </is>
      </c>
    </row>
    <row r="5">
      <c r="A5" t="inlineStr">
        <is>
          <t>Heat Pump CAPEX (2040)</t>
        </is>
      </c>
      <c r="B5" t="inlineStr">
        <is>
          <t>$480/tCO2</t>
        </is>
      </c>
      <c r="C5" t="inlineStr">
        <is>
          <t>Learning curve (-40%)</t>
        </is>
      </c>
      <c r="D5" t="inlineStr">
        <is>
          <t>40% cost reduction from scale</t>
        </is>
      </c>
    </row>
    <row r="6">
      <c r="A6" t="inlineStr">
        <is>
          <t>Heat Pump CAPEX (2050)</t>
        </is>
      </c>
      <c r="B6" t="inlineStr">
        <is>
          <t>$400/tCO2</t>
        </is>
      </c>
      <c r="C6" t="inlineStr">
        <is>
          <t>Learning curve (-50%)</t>
        </is>
      </c>
      <c r="D6" t="inlineStr">
        <is>
          <t>50% cost reduction from scale</t>
        </is>
      </c>
    </row>
    <row r="7">
      <c r="A7" t="inlineStr"/>
      <c r="B7" t="inlineStr"/>
      <c r="C7" t="inlineStr"/>
      <c r="D7" t="inlineStr"/>
    </row>
    <row r="8">
      <c r="A8" t="inlineStr">
        <is>
          <t>NCC-Electricity CAPEX (2025)</t>
        </is>
      </c>
      <c r="B8" t="inlineStr">
        <is>
          <t>$1,500/t-C2H4/yr</t>
        </is>
      </c>
      <c r="C8" t="inlineStr">
        <is>
          <t>Thunder Said Energy 2023 + ACS I&amp;EC Research 2023 (&lt;1% premium)</t>
        </is>
      </c>
      <c r="D8" t="inlineStr">
        <is>
          <t>TRL 7, pilot completed (BASF/SABIC/Linde)</t>
        </is>
      </c>
    </row>
    <row r="9">
      <c r="A9" t="inlineStr">
        <is>
          <t>NCC-Electricity CAPEX (2030)</t>
        </is>
      </c>
      <c r="B9" t="inlineStr">
        <is>
          <t>$1,350/t-C2H4/yr</t>
        </is>
      </c>
      <c r="C9" t="inlineStr">
        <is>
          <t>Learning curve (-10%)</t>
        </is>
      </c>
      <c r="D9" t="inlineStr">
        <is>
          <t>Based on 15-20% learning rate</t>
        </is>
      </c>
    </row>
    <row r="10">
      <c r="A10" t="inlineStr">
        <is>
          <t>NCC-Electricity CAPEX (2040)</t>
        </is>
      </c>
      <c r="B10" t="inlineStr">
        <is>
          <t>$1,050/t-C2H4/yr</t>
        </is>
      </c>
      <c r="C10" t="inlineStr">
        <is>
          <t>Learning curve (-30%)</t>
        </is>
      </c>
      <c r="D10" t="inlineStr">
        <is>
          <t>Based on 15-20% learning rate</t>
        </is>
      </c>
    </row>
    <row r="11">
      <c r="A11" t="inlineStr">
        <is>
          <t>NCC-Electricity CAPEX (2050)</t>
        </is>
      </c>
      <c r="B11" t="inlineStr">
        <is>
          <t>$900/t-C2H4/yr</t>
        </is>
      </c>
      <c r="C11" t="inlineStr">
        <is>
          <t>Learning curve (-40%)</t>
        </is>
      </c>
      <c r="D11" t="inlineStr">
        <is>
          <t>Based on 15-20% learning rate</t>
        </is>
      </c>
    </row>
    <row r="12">
      <c r="A12" t="inlineStr"/>
      <c r="B12" t="inlineStr"/>
      <c r="C12" t="inlineStr"/>
      <c r="D12" t="inlineStr"/>
    </row>
    <row r="13">
      <c r="A13" t="inlineStr">
        <is>
          <t>NCC-H2 CAPEX (2025)</t>
        </is>
      </c>
      <c r="B13" t="inlineStr">
        <is>
          <t>$1,700/t-C2H4/yr</t>
        </is>
      </c>
      <c r="C13" t="inlineStr">
        <is>
          <t>Thunder Said Energy 2023 (conventional cracker basis)</t>
        </is>
      </c>
      <c r="D13" t="inlineStr">
        <is>
          <t>TRL 7, ExxonMobil 98% H2 operation validated</t>
        </is>
      </c>
    </row>
    <row r="14">
      <c r="A14" t="inlineStr">
        <is>
          <t>NCC-H2 CAPEX (2030)</t>
        </is>
      </c>
      <c r="B14" t="inlineStr">
        <is>
          <t>$1,300/t-C2H4/yr</t>
        </is>
      </c>
      <c r="C14" t="inlineStr">
        <is>
          <t>Learning curve (-23%)</t>
        </is>
      </c>
      <c r="D14" t="inlineStr">
        <is>
          <t>Based on 15-20% learning rate</t>
        </is>
      </c>
    </row>
    <row r="15">
      <c r="A15" t="inlineStr">
        <is>
          <t>NCC-H2 CAPEX (2040)</t>
        </is>
      </c>
      <c r="B15" t="inlineStr">
        <is>
          <t>$935/t-C2H4/yr</t>
        </is>
      </c>
      <c r="C15" t="inlineStr">
        <is>
          <t>Learning curve (-45%)</t>
        </is>
      </c>
      <c r="D15" t="inlineStr">
        <is>
          <t>Based on 15-20% learning rate</t>
        </is>
      </c>
    </row>
    <row r="16">
      <c r="A16" t="inlineStr">
        <is>
          <t>NCC-H2 CAPEX (2050)</t>
        </is>
      </c>
      <c r="B16" t="inlineStr">
        <is>
          <t>$780/t-C2H4/yr</t>
        </is>
      </c>
      <c r="C16" t="inlineStr">
        <is>
          <t>Learning curve (-54%)</t>
        </is>
      </c>
      <c r="D16" t="inlineStr">
        <is>
          <t>Based on 15-20% learning rate</t>
        </is>
      </c>
    </row>
    <row r="17">
      <c r="A17" t="inlineStr"/>
      <c r="B17" t="inlineStr"/>
      <c r="C17" t="inlineStr"/>
      <c r="D17" t="inlineStr"/>
    </row>
    <row r="18">
      <c r="A18">
        <f>== OPEX (Operating Expenditure) ===</f>
        <v/>
      </c>
      <c r="B18" t="inlineStr"/>
      <c r="C18" t="inlineStr"/>
      <c r="D18" t="inlineStr"/>
    </row>
    <row r="19">
      <c r="A19" t="inlineStr">
        <is>
          <t>Heat Pump OPEX</t>
        </is>
      </c>
      <c r="B19" t="inlineStr">
        <is>
          <t>3% of CAPEX annually</t>
        </is>
      </c>
      <c r="C19" t="inlineStr">
        <is>
          <t>Industry standard for heat pump systems</t>
        </is>
      </c>
      <c r="D19" t="inlineStr">
        <is>
          <t>Includes maintenance, insurance</t>
        </is>
      </c>
    </row>
    <row r="20">
      <c r="A20" t="inlineStr">
        <is>
          <t>NCC-Electricity OPEX</t>
        </is>
      </c>
      <c r="B20" t="inlineStr">
        <is>
          <t>4% of CAPEX annually</t>
        </is>
      </c>
      <c r="C20" t="inlineStr">
        <is>
          <t>Industry standard for chemical plants</t>
        </is>
      </c>
      <c r="D20" t="inlineStr">
        <is>
          <t>Includes maintenance, catalyst replacement</t>
        </is>
      </c>
    </row>
    <row r="21">
      <c r="A21" t="inlineStr">
        <is>
          <t>NCC-H2 OPEX</t>
        </is>
      </c>
      <c r="B21" t="inlineStr">
        <is>
          <t>4% of CAPEX annually</t>
        </is>
      </c>
      <c r="C21" t="inlineStr">
        <is>
          <t>Industry standard for chemical plants</t>
        </is>
      </c>
      <c r="D21" t="inlineStr">
        <is>
          <t>Includes maintenance, catalyst replacement</t>
        </is>
      </c>
    </row>
    <row r="22">
      <c r="A22" t="inlineStr"/>
      <c r="B22" t="inlineStr"/>
      <c r="C22" t="inlineStr"/>
      <c r="D22" t="inlineStr"/>
    </row>
    <row r="23">
      <c r="A23">
        <f>== Fuel/Energy Costs ===</f>
        <v/>
      </c>
      <c r="B23" t="inlineStr"/>
      <c r="C23" t="inlineStr"/>
      <c r="D23" t="inlineStr"/>
    </row>
    <row r="24">
      <c r="A24" t="inlineStr">
        <is>
          <t>Hydrogen Price (2025)</t>
        </is>
      </c>
      <c r="B24" t="inlineStr">
        <is>
          <t>$6.73/kg</t>
        </is>
      </c>
      <c r="C24" t="inlineStr">
        <is>
          <t>IRENA 2024, BNEF 2024</t>
        </is>
      </c>
      <c r="D24" t="inlineStr">
        <is>
          <t>Green H2 from electrolysis</t>
        </is>
      </c>
    </row>
    <row r="25">
      <c r="A25" t="inlineStr">
        <is>
          <t>Hydrogen Price (2030)</t>
        </is>
      </c>
      <c r="B25" t="inlineStr">
        <is>
          <t>$5.88/kg</t>
        </is>
      </c>
      <c r="C25" t="inlineStr">
        <is>
          <t>H2 cost trajectory projection</t>
        </is>
      </c>
      <c r="D25" t="inlineStr">
        <is>
          <t>12.6% reduction from 2025</t>
        </is>
      </c>
    </row>
    <row r="26">
      <c r="A26" t="inlineStr">
        <is>
          <t>Hydrogen Price (2040)</t>
        </is>
      </c>
      <c r="B26" t="inlineStr">
        <is>
          <t>$4.16/kg</t>
        </is>
      </c>
      <c r="C26" t="inlineStr">
        <is>
          <t>H2 cost trajectory projection</t>
        </is>
      </c>
      <c r="D26" t="inlineStr">
        <is>
          <t>38.1% reduction from 2025</t>
        </is>
      </c>
    </row>
    <row r="27">
      <c r="A27" t="inlineStr">
        <is>
          <t>Hydrogen Price (2050)</t>
        </is>
      </c>
      <c r="B27" t="inlineStr">
        <is>
          <t>$2.63/kg</t>
        </is>
      </c>
      <c r="C27" t="inlineStr">
        <is>
          <t>H2 cost trajectory projection</t>
        </is>
      </c>
      <c r="D27" t="inlineStr">
        <is>
          <t>61.0% reduction from 2025</t>
        </is>
      </c>
    </row>
    <row r="28">
      <c r="A28" t="inlineStr"/>
      <c r="B28" t="inlineStr"/>
      <c r="C28" t="inlineStr"/>
      <c r="D28" t="inlineStr"/>
    </row>
    <row r="29">
      <c r="A29" t="inlineStr">
        <is>
          <t>RE Electricity Price (2025)</t>
        </is>
      </c>
      <c r="B29" t="inlineStr">
        <is>
          <t>$129/MWh</t>
        </is>
      </c>
      <c r="C29" t="inlineStr">
        <is>
          <t>Korea PPA market data</t>
        </is>
      </c>
      <c r="D29" t="inlineStr">
        <is>
          <t>Corporate PPA pricing</t>
        </is>
      </c>
    </row>
    <row r="30">
      <c r="A30" t="inlineStr">
        <is>
          <t>RE Electricity Price (2030)</t>
        </is>
      </c>
      <c r="B30" t="inlineStr">
        <is>
          <t>$157/MWh</t>
        </is>
      </c>
      <c r="C30" t="inlineStr">
        <is>
          <t>Korea PPA market projection</t>
        </is>
      </c>
      <c r="D30" t="inlineStr">
        <is>
          <t>+22% from 2025</t>
        </is>
      </c>
    </row>
    <row r="31">
      <c r="A31" t="inlineStr">
        <is>
          <t>RE Electricity Price (2040)</t>
        </is>
      </c>
      <c r="B31" t="inlineStr">
        <is>
          <t>$191/MWh</t>
        </is>
      </c>
      <c r="C31" t="inlineStr">
        <is>
          <t>Korea PPA market projection</t>
        </is>
      </c>
      <c r="D31" t="inlineStr">
        <is>
          <t>+48% from 2025</t>
        </is>
      </c>
    </row>
    <row r="32">
      <c r="A32" t="inlineStr">
        <is>
          <t>RE Electricity Price (2050)</t>
        </is>
      </c>
      <c r="B32" t="inlineStr">
        <is>
          <t>$191/MWh</t>
        </is>
      </c>
      <c r="C32" t="inlineStr">
        <is>
          <t>Korea PPA market projection</t>
        </is>
      </c>
      <c r="D32" t="inlineStr">
        <is>
          <t>Price stabilizes after 2035</t>
        </is>
      </c>
    </row>
    <row r="33">
      <c r="A33" t="inlineStr"/>
      <c r="B33" t="inlineStr"/>
      <c r="C33" t="inlineStr"/>
      <c r="D33" t="inlineStr"/>
    </row>
    <row r="34">
      <c r="A34" t="inlineStr">
        <is>
          <t>Grid Electricity Price (2025)</t>
        </is>
      </c>
      <c r="B34" t="inlineStr">
        <is>
          <t>$100/MWh</t>
        </is>
      </c>
      <c r="C34" t="inlineStr">
        <is>
          <t>Korea Power Exchange industrial tariff</t>
        </is>
      </c>
      <c r="D34" t="inlineStr">
        <is>
          <t>Industrial tariff baseline</t>
        </is>
      </c>
    </row>
    <row r="35">
      <c r="A35" t="inlineStr">
        <is>
          <t>Grid Electricity Price (2050)</t>
        </is>
      </c>
      <c r="B35" t="inlineStr">
        <is>
          <t>$191/MWh</t>
        </is>
      </c>
      <c r="C35" t="inlineStr">
        <is>
          <t>Linear projection to RE parity</t>
        </is>
      </c>
      <c r="D35" t="inlineStr">
        <is>
          <t>Convergence with RE price</t>
        </is>
      </c>
    </row>
    <row r="36">
      <c r="A36" t="inlineStr"/>
      <c r="B36" t="inlineStr"/>
      <c r="C36" t="inlineStr"/>
      <c r="D36" t="inlineStr"/>
    </row>
    <row r="37">
      <c r="A37">
        <f>== Energy Consumption Parameters ===</f>
        <v/>
      </c>
      <c r="B37" t="inlineStr"/>
      <c r="C37" t="inlineStr"/>
      <c r="D37" t="inlineStr"/>
    </row>
    <row r="38">
      <c r="A38" t="inlineStr">
        <is>
          <t>NCC-Electricity consumption</t>
        </is>
      </c>
      <c r="B38" t="inlineStr">
        <is>
          <t>5.0 MWh/ton ethylene</t>
        </is>
      </c>
      <c r="C38" t="inlineStr">
        <is>
          <t>BASF/SABIC/Linde demo 2024 (validated 4.5-5.5 MWh/t)</t>
        </is>
      </c>
      <c r="D38" t="inlineStr">
        <is>
          <t>Replaces 11 GJ/t combustion fuel</t>
        </is>
      </c>
    </row>
    <row r="39">
      <c r="A39" t="inlineStr">
        <is>
          <t>NCC-H2 consumption</t>
        </is>
      </c>
      <c r="B39" t="inlineStr">
        <is>
          <t>0.2 ton H2/ton ethylene</t>
        </is>
      </c>
      <c r="C39" t="inlineStr">
        <is>
          <t>Industry estimate (H2 burner retrofit basis)</t>
        </is>
      </c>
      <c r="D39" t="inlineStr">
        <is>
          <t>Replaces naphtha combustion in cracking</t>
        </is>
      </c>
    </row>
    <row r="40">
      <c r="A40" t="inlineStr">
        <is>
          <t>Heat Pump COP</t>
        </is>
      </c>
      <c r="B40" t="inlineStr">
        <is>
          <t>4.0</t>
        </is>
      </c>
      <c r="C40" t="inlineStr">
        <is>
          <t>Kosmadakis et al. 2020 (Energy Conv Mgmt)</t>
        </is>
      </c>
      <c r="D40" t="inlineStr">
        <is>
          <t>Coefficient of Performance for heat pump</t>
        </is>
      </c>
    </row>
    <row r="41">
      <c r="A41" t="inlineStr"/>
      <c r="B41" t="inlineStr"/>
      <c r="C41" t="inlineStr"/>
      <c r="D41" t="inlineStr"/>
    </row>
    <row r="42">
      <c r="A42">
        <f>== Emission Factors ===</f>
        <v/>
      </c>
      <c r="B42" t="inlineStr"/>
      <c r="C42" t="inlineStr"/>
      <c r="D42" t="inlineStr"/>
    </row>
    <row r="43">
      <c r="A43" t="inlineStr">
        <is>
          <t>Grid EF (2025)</t>
        </is>
      </c>
      <c r="B43" t="inlineStr">
        <is>
          <t>0.436 tCO2/MWh</t>
        </is>
      </c>
      <c r="C43" t="inlineStr">
        <is>
          <t>Korea 10th Basic Plan for Electricity Supply</t>
        </is>
      </c>
      <c r="D43" t="inlineStr">
        <is>
          <t>Coal + gas + nuclear + RE mix</t>
        </is>
      </c>
    </row>
    <row r="44">
      <c r="A44" t="inlineStr">
        <is>
          <t>Grid EF (2050)</t>
        </is>
      </c>
      <c r="B44" t="inlineStr">
        <is>
          <t>0.070 tCO2/MWh</t>
        </is>
      </c>
      <c r="C44" t="inlineStr">
        <is>
          <t>Korea 10th Basic Plan for Electricity Supply</t>
        </is>
      </c>
      <c r="D44" t="inlineStr">
        <is>
          <t>84% reduction from grid decarbonization</t>
        </is>
      </c>
    </row>
    <row r="45">
      <c r="A45" t="inlineStr">
        <is>
          <t>Green H2 EF</t>
        </is>
      </c>
      <c r="B45" t="inlineStr">
        <is>
          <t>0.0 tCO2/kg</t>
        </is>
      </c>
      <c r="C45" t="inlineStr">
        <is>
          <t>Green hydrogen from electrolysis (assumption)</t>
        </is>
      </c>
      <c r="D45" t="inlineStr">
        <is>
          <t>Zero-carbon hydrogen</t>
        </is>
      </c>
    </row>
    <row r="46">
      <c r="A46" t="inlineStr">
        <is>
          <t>RE Electricity EF</t>
        </is>
      </c>
      <c r="B46" t="inlineStr">
        <is>
          <t>0.0 tCO2/MWh</t>
        </is>
      </c>
      <c r="C46" t="inlineStr">
        <is>
          <t>Renewable electricity (assumption)</t>
        </is>
      </c>
      <c r="D46" t="inlineStr">
        <is>
          <t>Zero-carbon electricity from wind/solar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Formula</t>
        </is>
      </c>
      <c r="C1" s="1" t="inlineStr">
        <is>
          <t>Example_2035</t>
        </is>
      </c>
    </row>
    <row r="2">
      <c r="A2" t="inlineStr">
        <is>
          <t>1. CAPEX Calculation</t>
        </is>
      </c>
      <c r="B2" t="inlineStr">
        <is>
          <t>CAPEX_annual = (Capacity × CAPEX_per_unit × Deployment_Rate) / Lifetime</t>
        </is>
      </c>
      <c r="C2" t="inlineStr"/>
    </row>
    <row r="3">
      <c r="A3" t="inlineStr"/>
      <c r="B3" t="inlineStr"/>
      <c r="C3" t="inlineStr"/>
    </row>
    <row r="4">
      <c r="A4" t="inlineStr"/>
      <c r="B4" t="inlineStr">
        <is>
          <t>For NCC: CAPEX = Ethylene_Capacity (kt) × 1000 × CAPEX ($/t-C2H4/yr) × Rate / 25 years</t>
        </is>
      </c>
      <c r="C4" t="inlineStr">
        <is>
          <t>CAPEX = 12,000 kt × 1000 × $1,350/t × 13% / 25 = $84M/year</t>
        </is>
      </c>
    </row>
    <row r="5">
      <c r="A5" t="inlineStr"/>
      <c r="B5" t="inlineStr">
        <is>
          <t>For Heat Pump: CAPEX = Emissions_Reduced (kt) × 1000 × CAPEX ($/tCO2) × Rate / 20 years</t>
        </is>
      </c>
      <c r="C5" t="inlineStr">
        <is>
          <t>CAPEX = 4,470 kt × 1000 × $560/t × 100% / 20 = $125M/year</t>
        </is>
      </c>
    </row>
    <row r="6">
      <c r="A6" t="inlineStr"/>
      <c r="B6" t="inlineStr"/>
      <c r="C6" t="inlineStr"/>
    </row>
    <row r="7">
      <c r="A7" t="inlineStr">
        <is>
          <t>2. OPEX Calculation</t>
        </is>
      </c>
      <c r="B7" t="inlineStr">
        <is>
          <t>OPEX_annual = CAPEX_total × OPEX_percentage</t>
        </is>
      </c>
      <c r="C7" t="inlineStr"/>
    </row>
    <row r="8">
      <c r="A8" t="inlineStr"/>
      <c r="B8" t="inlineStr"/>
      <c r="C8" t="inlineStr"/>
    </row>
    <row r="9">
      <c r="A9" t="inlineStr"/>
      <c r="B9" t="inlineStr">
        <is>
          <t>OPEX = Total_CAPEX_Invested × 3% (Heat Pump) or 4% (NCC)</t>
        </is>
      </c>
      <c r="C9" t="inlineStr">
        <is>
          <t>OPEX = $2.1B × 4% = $84M/year (NCC) + $2.5B × 3% = $75M (HP)</t>
        </is>
      </c>
    </row>
    <row r="10">
      <c r="A10" t="inlineStr">
        <is>
          <t>3. Fuel Cost Calculation</t>
        </is>
      </c>
      <c r="B10" t="inlineStr"/>
      <c r="C10" t="inlineStr"/>
    </row>
    <row r="11">
      <c r="A11" t="inlineStr"/>
      <c r="B11" t="inlineStr">
        <is>
          <t>For NCC-Electricity:</t>
        </is>
      </c>
      <c r="C11" t="inlineStr"/>
    </row>
    <row r="12">
      <c r="A12" t="inlineStr"/>
      <c r="B12" t="inlineStr">
        <is>
          <t xml:space="preserve">  Fuel_Cost = Ethylene_Capacity × 1000 × 5.0 MWh/t × RE_Price × Deployment_Rate</t>
        </is>
      </c>
      <c r="C12" t="inlineStr">
        <is>
          <t>Fuel = 12,000 kt × 1000 × 5.0 × $191 × 13% = $1.49B/year</t>
        </is>
      </c>
    </row>
    <row r="13">
      <c r="A13" t="inlineStr"/>
      <c r="B13" t="inlineStr"/>
      <c r="C13" t="inlineStr"/>
    </row>
    <row r="14">
      <c r="A14" t="inlineStr"/>
      <c r="B14" t="inlineStr">
        <is>
          <t>For NCC-H2:</t>
        </is>
      </c>
      <c r="C14" t="inlineStr"/>
    </row>
    <row r="15">
      <c r="A15" t="inlineStr"/>
      <c r="B15" t="inlineStr">
        <is>
          <t xml:space="preserve">  Fuel_Cost = Ethylene_Capacity × 1000 × 0.2 t-H2/t × 1000 × H2_Price × Deployment_Rate</t>
        </is>
      </c>
      <c r="C15" t="inlineStr">
        <is>
          <t>Fuel = 12,000 kt × 1000 × 0.2 × 1000 × $4.16 × 13% = $1.30B/year</t>
        </is>
      </c>
    </row>
    <row r="16">
      <c r="A16" t="inlineStr">
        <is>
          <t>4. Total Annual Cost</t>
        </is>
      </c>
      <c r="B16" t="inlineStr"/>
      <c r="C16" t="inlineStr"/>
    </row>
    <row r="17">
      <c r="A17" t="inlineStr"/>
      <c r="B17" t="inlineStr">
        <is>
          <t>Total_Annual_Cost = CAPEX_annual + OPEX_annual + Fuel_Cost</t>
        </is>
      </c>
      <c r="C17" t="inlineStr">
        <is>
          <t>Total = $84M + $159M + $1,490M = $1,733M/year (Elec)</t>
        </is>
      </c>
    </row>
    <row r="18">
      <c r="A18" t="inlineStr"/>
      <c r="B18" t="inlineStr"/>
      <c r="C18" t="inlineStr">
        <is>
          <t>Total = $84M + $159M + $1,300M = $1,543M/year (H2)</t>
        </is>
      </c>
    </row>
    <row r="19">
      <c r="A19" t="inlineStr">
        <is>
          <t>5. Marginal Abatement Cost</t>
        </is>
      </c>
      <c r="B19" t="inlineStr"/>
      <c r="C19" t="inlineStr"/>
    </row>
    <row r="20">
      <c r="A20" t="inlineStr"/>
      <c r="B20" t="inlineStr">
        <is>
          <t>MAC ($/tCO2) = Total_Annual_Cost / Emissions_Reduced</t>
        </is>
      </c>
      <c r="C20" t="inlineStr">
        <is>
          <t>MAC = $1,733M / 12.7 MtCO2 = $136/tCO2 (Elec)</t>
        </is>
      </c>
    </row>
    <row r="21">
      <c r="A21" t="inlineStr"/>
      <c r="B21" t="inlineStr"/>
      <c r="C21" t="inlineStr">
        <is>
          <t>MAC = $1,543M / 12.7 MtCO2 = $121/tCO2 (H2)</t>
        </is>
      </c>
    </row>
    <row r="22">
      <c r="A22" t="inlineStr"/>
      <c r="B22" t="inlineStr">
        <is>
          <t>Where Emissions_Reduced = Baseline_Emissions - Final_Emissions</t>
        </is>
      </c>
      <c r="C22" t="inlineStr"/>
    </row>
    <row r="23">
      <c r="A23" t="inlineStr">
        <is>
          <t>6. Cumulative Cost</t>
        </is>
      </c>
      <c r="B23" t="inlineStr"/>
      <c r="C23" t="inlineStr"/>
    </row>
    <row r="24">
      <c r="A24" t="inlineStr"/>
      <c r="B24" t="inlineStr">
        <is>
          <t>Cumulative_Cost = Σ Total_Annual_Cost (from 2025 to year)</t>
        </is>
      </c>
      <c r="C24" t="inlineStr">
        <is>
          <t>Cumulative (2035) = $16.6B (Elec), $12.8B (H2)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Title_Description</t>
        </is>
      </c>
      <c r="C1" s="1" t="inlineStr">
        <is>
          <t>Key_Data_Used</t>
        </is>
      </c>
    </row>
    <row r="2">
      <c r="A2">
        <f>== CAPEX Sources (Verified) ===</f>
        <v/>
      </c>
      <c r="B2" t="inlineStr"/>
      <c r="C2" t="inlineStr"/>
    </row>
    <row r="3">
      <c r="A3" t="inlineStr">
        <is>
          <t>Thunder Said Energy (2023)</t>
        </is>
      </c>
      <c r="B3" t="inlineStr">
        <is>
          <t>Naphtha cracking costs - conventional cracker economics</t>
        </is>
      </c>
      <c r="C3" t="inlineStr">
        <is>
          <t>Conventional cracker CAPEX: $1,700/t-output, basis for NCC modifications</t>
        </is>
      </c>
    </row>
    <row r="4">
      <c r="A4" t="inlineStr">
        <is>
          <t>Gu et al. (2022)</t>
        </is>
      </c>
      <c r="B4" t="inlineStr">
        <is>
          <t>Electrified steam cracking for carbon neutral ethylene (Energy Conv Mgmt)</t>
        </is>
      </c>
      <c r="C4" t="inlineStr">
        <is>
          <t>Electric cracker techno-economic analysis, 14 scenarios evaluated</t>
        </is>
      </c>
    </row>
    <row r="5">
      <c r="A5" t="inlineStr">
        <is>
          <t>ACS I&amp;EC Research (2023)</t>
        </is>
      </c>
      <c r="B5" t="inlineStr">
        <is>
          <t>Optimization of Electric Ethylene Production</t>
        </is>
      </c>
      <c r="C5" t="inlineStr">
        <is>
          <t>Electric cracker CAPEX &lt;1% premium vs conventional cracker</t>
        </is>
      </c>
    </row>
    <row r="6">
      <c r="A6" t="inlineStr">
        <is>
          <t>Kosmadakis et al. (2020)</t>
        </is>
      </c>
      <c r="B6" t="inlineStr">
        <is>
          <t>Techno-economic analysis of HTHPs for waste heat up to 150C (Energy Conv Mgmt)</t>
        </is>
      </c>
      <c r="C6" t="inlineStr">
        <is>
          <t>Heat pump equipment: 150-300 EUR/kW, COP 3.5-4.5 up to 150C</t>
        </is>
      </c>
    </row>
    <row r="7">
      <c r="A7" t="inlineStr">
        <is>
          <t>McKinsey (2024)</t>
        </is>
      </c>
      <c r="B7" t="inlineStr">
        <is>
          <t>Industrial heat pumps: Five considerations for growth</t>
        </is>
      </c>
      <c r="C7" t="inlineStr">
        <is>
          <t>Industrial HP installed cost: $1,000-3,000/kW</t>
        </is>
      </c>
    </row>
    <row r="8">
      <c r="A8" t="inlineStr"/>
      <c r="B8" t="inlineStr"/>
      <c r="C8" t="inlineStr"/>
    </row>
    <row r="9">
      <c r="A9">
        <f>== Technology Demonstration ===</f>
        <v/>
      </c>
      <c r="B9" t="inlineStr"/>
      <c r="C9" t="inlineStr"/>
    </row>
    <row r="10">
      <c r="A10" t="inlineStr">
        <is>
          <t>BASF/SABIC/Linde (2024)</t>
        </is>
      </c>
      <c r="B10" t="inlineStr">
        <is>
          <t>World-first 6MW electric cracker demo, Ludwigshafen Germany</t>
        </is>
      </c>
      <c r="C10" t="inlineStr">
        <is>
          <t>Validates 5.0 MWh/ton electricity consumption for e-cracking</t>
        </is>
      </c>
    </row>
    <row r="11">
      <c r="A11" t="inlineStr">
        <is>
          <t>ExxonMobil Baytown (2023)</t>
        </is>
      </c>
      <c r="B11" t="inlineStr">
        <is>
          <t>98% hydrogen firing demonstration at Baytown Olefins Plant</t>
        </is>
      </c>
      <c r="C11" t="inlineStr">
        <is>
          <t>Validates H2 firing feasibility, 90% CO2 reduction achieved</t>
        </is>
      </c>
    </row>
    <row r="12">
      <c r="A12" t="inlineStr"/>
      <c r="B12" t="inlineStr"/>
      <c r="C12" t="inlineStr"/>
    </row>
    <row r="13">
      <c r="A13">
        <f>== Price Trajectory Sources ===</f>
        <v/>
      </c>
      <c r="B13" t="inlineStr"/>
      <c r="C13" t="inlineStr"/>
    </row>
    <row r="14">
      <c r="A14" t="inlineStr">
        <is>
          <t>IRENA (2024)</t>
        </is>
      </c>
      <c r="B14" t="inlineStr">
        <is>
          <t>Green hydrogen cost trajectories 2020-2050</t>
        </is>
      </c>
      <c r="C14" t="inlineStr">
        <is>
          <t>Green H2: $6.73 (2025) → $2.63 (2050) /kg</t>
        </is>
      </c>
    </row>
    <row r="15">
      <c r="A15" t="inlineStr">
        <is>
          <t>BNEF (2024)</t>
        </is>
      </c>
      <c r="B15" t="inlineStr">
        <is>
          <t>Corporate PPA pricing database</t>
        </is>
      </c>
      <c r="C15" t="inlineStr">
        <is>
          <t>RE PPA: $129 (2025) → $191 (2035+) /MWh</t>
        </is>
      </c>
    </row>
    <row r="16">
      <c r="A16" t="inlineStr">
        <is>
          <t>Korea Power Exchange (2024)</t>
        </is>
      </c>
      <c r="B16" t="inlineStr">
        <is>
          <t>Industrial electricity tariff schedule</t>
        </is>
      </c>
      <c r="C16" t="inlineStr">
        <is>
          <t>Grid: $100 (2025) → $191 (2050) /MWh</t>
        </is>
      </c>
    </row>
    <row r="17">
      <c r="A17" t="inlineStr"/>
      <c r="B17" t="inlineStr"/>
      <c r="C17" t="inlineStr"/>
    </row>
    <row r="18">
      <c r="A18">
        <f>== Emission Factor Sources ===</f>
        <v/>
      </c>
      <c r="B18" t="inlineStr"/>
      <c r="C18" t="inlineStr"/>
    </row>
    <row r="19">
      <c r="A19" t="inlineStr">
        <is>
          <t>IPCC (2019)</t>
        </is>
      </c>
      <c r="B19" t="inlineStr">
        <is>
          <t>Refinement to 2006 Guidelines: Energy sector (Table 2.3)</t>
        </is>
      </c>
      <c r="C19" t="inlineStr">
        <is>
          <t>Naphtha: 0.0542, LNG: 0.0561, LPG: 0.0631 tCO2/GJ</t>
        </is>
      </c>
    </row>
    <row r="20">
      <c r="A20" t="inlineStr">
        <is>
          <t>API Compendium (2021)</t>
        </is>
      </c>
      <c r="B20" t="inlineStr">
        <is>
          <t>Compendium of GHG Emission Methodologies: Petroleum Industry</t>
        </is>
      </c>
      <c r="C20" t="inlineStr">
        <is>
          <t>Fuel Gas: 0.050, Byproduct Gas: 0.048 tCO2/GJ</t>
        </is>
      </c>
    </row>
    <row r="21">
      <c r="A21" t="inlineStr">
        <is>
          <t>Korea 10th Power Plan (2023)</t>
        </is>
      </c>
      <c r="B21" t="inlineStr">
        <is>
          <t>Grid emission factor trajectory 2025-2050</t>
        </is>
      </c>
      <c r="C21" t="inlineStr">
        <is>
          <t>Grid EF: 0.436 (2025) → 0.070 (2050) tCO2/MWh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2025-12-01T14:07:23Z</dcterms:created>
  <dcterms:modified xmlns:dcterms="http://purl.org/dc/terms/" xmlns:xsi="http://www.w3.org/2001/XMLSchema-instance" xsi:type="dcterms:W3CDTF">2025-12-01T14:07:23Z</dcterms:modified>
</cp:coreProperties>
</file>