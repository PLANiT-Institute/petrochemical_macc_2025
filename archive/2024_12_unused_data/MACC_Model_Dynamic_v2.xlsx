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_Parameters" sheetId="1" state="visible" r:id="rId1"/>
    <sheet xmlns:r="http://schemas.openxmlformats.org/officeDocument/2006/relationships" name="2_6Scenario_Summary" sheetId="2" state="visible" r:id="rId2"/>
    <sheet xmlns:r="http://schemas.openxmlformats.org/officeDocument/2006/relationships" name="3_Regional_H2" sheetId="3" state="visible" r:id="rId3"/>
    <sheet xmlns:r="http://schemas.openxmlformats.org/officeDocument/2006/relationships" name="4_Regional_Electricity" sheetId="4" state="visible" r:id="rId4"/>
    <sheet xmlns:r="http://schemas.openxmlformats.org/officeDocument/2006/relationships" name="5_NCC_Facilities" sheetId="5" state="visible" r:id="rId5"/>
    <sheet xmlns:r="http://schemas.openxmlformats.org/officeDocument/2006/relationships" name="6_Ethylene_Facil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MACC Model Parameters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1">
        <f>== STREAMLIT BASELINE VALUES (2050) ===</f>
        <v/>
      </c>
      <c r="B3" s="2" t="inlineStr"/>
      <c r="C3" s="2" t="inlineStr"/>
      <c r="D3" s="2" t="inlineStr"/>
    </row>
    <row r="4">
      <c r="A4" s="2" t="inlineStr">
        <is>
          <t>Shaheen H2 Demand</t>
        </is>
      </c>
      <c r="B4" s="3" t="n">
        <v>7703.5</v>
      </c>
      <c r="C4" s="2" t="inlineStr">
        <is>
          <t>kt/year</t>
        </is>
      </c>
      <c r="D4" s="2" t="inlineStr">
        <is>
          <t>From Streamlit - Shaheen + NCC-H2</t>
        </is>
      </c>
    </row>
    <row r="5">
      <c r="A5" s="2" t="inlineStr">
        <is>
          <t>Shaheen Electricity Demand</t>
        </is>
      </c>
      <c r="B5" s="3" t="n">
        <v>164.5</v>
      </c>
      <c r="C5" s="2" t="inlineStr">
        <is>
          <t>TWh/year</t>
        </is>
      </c>
      <c r="D5" s="2" t="inlineStr">
        <is>
          <t>From Streamlit - Shaheen + NCC-Elec</t>
        </is>
      </c>
    </row>
    <row r="6">
      <c r="A6" s="2" t="inlineStr"/>
      <c r="B6" s="2" t="inlineStr"/>
      <c r="C6" s="2" t="inlineStr"/>
      <c r="D6" s="2" t="inlineStr"/>
    </row>
    <row r="7">
      <c r="A7" s="1">
        <f>== SCENARIO SCALING FACTORS ===</f>
        <v/>
      </c>
      <c r="B7" s="2" t="inlineStr"/>
      <c r="C7" s="2" t="inlineStr"/>
      <c r="D7" s="2" t="inlineStr"/>
    </row>
    <row r="8">
      <c r="A8" s="2" t="inlineStr">
        <is>
          <t>(Based on H2 ratios from Streamlit)</t>
        </is>
      </c>
      <c r="B8" s="2" t="inlineStr"/>
      <c r="C8" s="2" t="inlineStr"/>
      <c r="D8" s="2" t="inlineStr"/>
    </row>
    <row r="9">
      <c r="A9" s="2" t="inlineStr">
        <is>
          <t>Shaheen Scale Factor</t>
        </is>
      </c>
      <c r="B9" s="3" t="n">
        <v>1</v>
      </c>
      <c r="C9" s="2" t="inlineStr"/>
      <c r="D9" s="2" t="inlineStr">
        <is>
          <t>Baseline</t>
        </is>
      </c>
    </row>
    <row r="10">
      <c r="A10" s="2" t="inlineStr">
        <is>
          <t>구조조정 25% Scale Factor</t>
        </is>
      </c>
      <c r="B10" s="3" t="n">
        <v>0.6008697345362498</v>
      </c>
      <c r="C10" s="2" t="inlineStr"/>
      <c r="D10" s="2">
        <f> 4628.8 / 7703.5</f>
        <v/>
      </c>
    </row>
    <row r="11">
      <c r="A11" s="2" t="inlineStr">
        <is>
          <t>구조조정 40% Scale Factor</t>
        </is>
      </c>
      <c r="B11" s="3" t="n">
        <v>0.5217368728500033</v>
      </c>
      <c r="C11" s="2" t="inlineStr"/>
      <c r="D11" s="2">
        <f> 4019.2 / 7703.5</f>
        <v/>
      </c>
    </row>
    <row r="12">
      <c r="A12" s="2" t="inlineStr"/>
      <c r="B12" s="2" t="inlineStr"/>
      <c r="C12" s="2" t="inlineStr"/>
      <c r="D12" s="2" t="inlineStr"/>
    </row>
    <row r="13">
      <c r="A13" s="1">
        <f>== H2 REGIONAL SHARES (Ethylene-based) ===</f>
        <v/>
      </c>
      <c r="B13" s="2" t="inlineStr"/>
      <c r="C13" s="2" t="inlineStr"/>
      <c r="D13" s="2" t="inlineStr"/>
    </row>
    <row r="14">
      <c r="A14" s="2" t="inlineStr">
        <is>
          <t>Daesan H2 Share</t>
        </is>
      </c>
      <c r="B14" s="3" t="n">
        <v>0.399180739006855</v>
      </c>
      <c r="C14" s="2" t="inlineStr"/>
      <c r="D14" s="2" t="inlineStr"/>
    </row>
    <row r="15">
      <c r="A15" s="2" t="inlineStr">
        <is>
          <t>Yeosu H2 Share</t>
        </is>
      </c>
      <c r="B15" s="3" t="n">
        <v>0.4551914395586023</v>
      </c>
      <c r="C15" s="2" t="inlineStr"/>
      <c r="D15" s="2">
        <f> 4775/11962</f>
        <v/>
      </c>
    </row>
    <row r="16">
      <c r="A16" s="2" t="inlineStr">
        <is>
          <t>Ulsan H2 Share</t>
        </is>
      </c>
      <c r="B16" s="3" t="n">
        <v>0.05517471994649724</v>
      </c>
      <c r="C16" s="2" t="inlineStr"/>
      <c r="D16" s="2">
        <f> 5445/11962</f>
        <v/>
      </c>
    </row>
    <row r="17">
      <c r="A17" s="2" t="inlineStr">
        <is>
          <t>Onsan H2 Share</t>
        </is>
      </c>
      <c r="B17" s="3" t="n">
        <v>0.09045310148804547</v>
      </c>
      <c r="C17" s="2" t="inlineStr"/>
      <c r="D17" s="2">
        <f> 660/11962</f>
        <v/>
      </c>
    </row>
    <row r="18">
      <c r="A18" s="2" t="inlineStr">
        <is>
          <t>Onsan Share</t>
        </is>
      </c>
      <c r="B18" s="3" t="n">
        <v>0.09</v>
      </c>
      <c r="C18" s="2" t="inlineStr"/>
      <c r="D18" s="2">
        <f> 1082/11962</f>
        <v/>
      </c>
    </row>
    <row r="19">
      <c r="A19" s="1">
        <f>== ELECTRICITY REGIONAL SHARES (NCC-based) ===</f>
        <v/>
      </c>
      <c r="B19" s="2" t="inlineStr"/>
      <c r="C19" s="2" t="inlineStr"/>
      <c r="D19" s="2" t="inlineStr"/>
    </row>
    <row r="20">
      <c r="A20" s="1" t="inlineStr">
        <is>
          <t>Daesan Elec Share</t>
        </is>
      </c>
      <c r="B20" s="3" t="n">
        <v>0.3580547112462006</v>
      </c>
      <c r="C20" s="2" t="inlineStr"/>
      <c r="D20" s="2">
        <f> 58.9 / 164.5 (from Streamlit)</f>
        <v/>
      </c>
    </row>
    <row r="21">
      <c r="A21" s="2" t="inlineStr">
        <is>
          <t>Yeosu Elec Share</t>
        </is>
      </c>
      <c r="B21" s="3" t="n">
        <v>0.3775075987841945</v>
      </c>
      <c r="C21" s="2" t="inlineStr">
        <is>
          <t>kt</t>
        </is>
      </c>
      <c r="D21" s="2">
        <f> 62.1 / 164.5 (from Streamlit)</f>
        <v/>
      </c>
    </row>
    <row r="22">
      <c r="A22" s="2" t="inlineStr">
        <is>
          <t>Ulsan Elec Share</t>
        </is>
      </c>
      <c r="B22" s="3" t="n">
        <v>0.09300911854103344</v>
      </c>
      <c r="C22" s="2" t="inlineStr">
        <is>
          <t>kt</t>
        </is>
      </c>
      <c r="D22" s="2">
        <f> 15.3 / 164.5 (from Streamlit)</f>
        <v/>
      </c>
    </row>
    <row r="23">
      <c r="A23" s="2" t="inlineStr">
        <is>
          <t>Onsan Elec Share</t>
        </is>
      </c>
      <c r="B23" s="3" t="n">
        <v>0.1720364741641337</v>
      </c>
      <c r="C23" s="2" t="inlineStr">
        <is>
          <t>kt</t>
        </is>
      </c>
      <c r="D23" s="2">
        <f> 28.3 / 164.5 (from Streamlit)</f>
        <v/>
      </c>
    </row>
    <row r="24">
      <c r="A24" s="2" t="inlineStr">
        <is>
          <t>Shaheen Elec Check</t>
        </is>
      </c>
      <c r="B24" s="2">
        <f>B5*B9</f>
        <v/>
      </c>
      <c r="C24" s="2" t="inlineStr">
        <is>
          <t>TWh</t>
        </is>
      </c>
      <c r="D24" s="2" t="inlineStr">
        <is>
          <t>Should equal B5</t>
        </is>
      </c>
    </row>
    <row r="25">
      <c r="A25" s="1">
        <f>== VALIDATION ===</f>
        <v/>
      </c>
      <c r="B25" s="2">
        <f>B5*B10</f>
        <v/>
      </c>
      <c r="C25" s="2" t="inlineStr">
        <is>
          <t>TWh</t>
        </is>
      </c>
      <c r="D25" s="2">
        <f> Shaheen * 0.601 = 98.9</f>
        <v/>
      </c>
    </row>
    <row r="26">
      <c r="A26" s="2" t="inlineStr">
        <is>
          <t>구조조정 40% Elec</t>
        </is>
      </c>
      <c r="B26" s="2">
        <f>B5*B11</f>
        <v/>
      </c>
      <c r="C26" s="2" t="inlineStr">
        <is>
          <t>TWh</t>
        </is>
      </c>
      <c r="D26" s="2">
        <f> Shaheen * 0.522 = 85.9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</cols>
  <sheetData>
    <row r="1">
      <c r="A1" s="4" t="inlineStr">
        <is>
          <t>Scenario</t>
        </is>
      </c>
      <c r="B1" s="4" t="inlineStr">
        <is>
          <t>Technology</t>
        </is>
      </c>
      <c r="C1" s="4" t="inlineStr">
        <is>
          <t>H2 (kt)</t>
        </is>
      </c>
      <c r="D1" s="4" t="inlineStr">
        <is>
          <t>Electricity (TWh)</t>
        </is>
      </c>
    </row>
    <row r="2">
      <c r="A2" s="2" t="inlineStr">
        <is>
          <t>Shaheen + NCC-H2</t>
        </is>
      </c>
      <c r="B2" s="2" t="inlineStr">
        <is>
          <t>NCC-H2</t>
        </is>
      </c>
      <c r="C2" s="2">
        <f>'1_Input_Parameters'!B4*'1_Input_Parameters'!B9</f>
        <v/>
      </c>
      <c r="D2" s="2" t="n">
        <v>0</v>
      </c>
    </row>
    <row r="3">
      <c r="A3" s="2" t="inlineStr">
        <is>
          <t>Shaheen + NCC-Elec</t>
        </is>
      </c>
      <c r="B3" s="2" t="inlineStr">
        <is>
          <t>NCC-Electricity</t>
        </is>
      </c>
      <c r="C3" s="2" t="n">
        <v>0</v>
      </c>
      <c r="D3" s="2">
        <f>'1_Input_Parameters'!B5*'1_Input_Parameters'!B9</f>
        <v/>
      </c>
    </row>
    <row r="4">
      <c r="A4" s="2" t="inlineStr">
        <is>
          <t>구조조정 25% + NCC-H2</t>
        </is>
      </c>
      <c r="B4" s="2" t="inlineStr">
        <is>
          <t>NCC-H2</t>
        </is>
      </c>
      <c r="C4" s="2">
        <f>'1_Input_Parameters'!B4*'1_Input_Parameters'!B10</f>
        <v/>
      </c>
      <c r="D4" s="2" t="n">
        <v>0</v>
      </c>
    </row>
    <row r="5">
      <c r="A5" s="2" t="inlineStr">
        <is>
          <t>구조조정 25% + NCC-Elec</t>
        </is>
      </c>
      <c r="B5" s="2" t="inlineStr">
        <is>
          <t>NCC-Electricity</t>
        </is>
      </c>
      <c r="C5" s="2" t="n">
        <v>0</v>
      </c>
      <c r="D5" s="2">
        <f>'1_Input_Parameters'!B5*'1_Input_Parameters'!B10</f>
        <v/>
      </c>
    </row>
    <row r="6">
      <c r="A6" s="2" t="inlineStr">
        <is>
          <t>구조조정 40% + NCC-H2</t>
        </is>
      </c>
      <c r="B6" s="2" t="inlineStr">
        <is>
          <t>NCC-H2</t>
        </is>
      </c>
      <c r="C6" s="2">
        <f>'1_Input_Parameters'!B4*'1_Input_Parameters'!B11</f>
        <v/>
      </c>
      <c r="D6" s="2" t="n">
        <v>0</v>
      </c>
    </row>
    <row r="7">
      <c r="A7" s="2" t="inlineStr">
        <is>
          <t>구조조정 40% + NCC-Elec</t>
        </is>
      </c>
      <c r="B7" s="2" t="inlineStr">
        <is>
          <t>NCC-Electricity</t>
        </is>
      </c>
      <c r="C7" s="2" t="n">
        <v>0</v>
      </c>
      <c r="D7" s="2">
        <f>'1_Input_Parameters'!B5*'1_Input_Parameters'!B11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Location</t>
        </is>
      </c>
      <c r="B1" s="4" t="inlineStr">
        <is>
          <t>Share (%)</t>
        </is>
      </c>
      <c r="C1" s="4" t="inlineStr">
        <is>
          <t>Shaheen H2 (kt)</t>
        </is>
      </c>
      <c r="D1" s="4" t="inlineStr">
        <is>
          <t>구조조정25% H2 (kt)</t>
        </is>
      </c>
      <c r="E1" s="4" t="inlineStr">
        <is>
          <t>구조조정40% H2 (kt)</t>
        </is>
      </c>
    </row>
    <row r="2">
      <c r="A2" s="2" t="inlineStr">
        <is>
          <t>Daesan</t>
        </is>
      </c>
      <c r="B2" s="2">
        <f>'1_Input_Parameters'!B14*100</f>
        <v/>
      </c>
      <c r="C2" s="2">
        <f>'2_6Scenario_Summary'!C2*'1_Input_Parameters'!B14</f>
        <v/>
      </c>
      <c r="D2" s="2">
        <f>'2_6Scenario_Summary'!C4*'1_Input_Parameters'!B14</f>
        <v/>
      </c>
      <c r="E2" s="2">
        <f>'2_6Scenario_Summary'!C6*'1_Input_Parameters'!B14</f>
        <v/>
      </c>
    </row>
    <row r="3">
      <c r="A3" s="2" t="inlineStr">
        <is>
          <t>Yeosu</t>
        </is>
      </c>
      <c r="B3" s="2">
        <f>'1_Input_Parameters'!B15*100</f>
        <v/>
      </c>
      <c r="C3" s="2">
        <f>'2_6Scenario_Summary'!C2*'1_Input_Parameters'!B15</f>
        <v/>
      </c>
      <c r="D3" s="2">
        <f>'2_6Scenario_Summary'!C4*'1_Input_Parameters'!B15</f>
        <v/>
      </c>
      <c r="E3" s="2">
        <f>'2_6Scenario_Summary'!C6*'1_Input_Parameters'!B15</f>
        <v/>
      </c>
    </row>
    <row r="4">
      <c r="A4" s="2" t="inlineStr">
        <is>
          <t>Ulsan</t>
        </is>
      </c>
      <c r="B4" s="2">
        <f>'1_Input_Parameters'!B16*100</f>
        <v/>
      </c>
      <c r="C4" s="2">
        <f>'2_6Scenario_Summary'!C2*'1_Input_Parameters'!B16</f>
        <v/>
      </c>
      <c r="D4" s="2">
        <f>'2_6Scenario_Summary'!C4*'1_Input_Parameters'!B16</f>
        <v/>
      </c>
      <c r="E4" s="2">
        <f>'2_6Scenario_Summary'!C6*'1_Input_Parameters'!B16</f>
        <v/>
      </c>
    </row>
    <row r="5">
      <c r="A5" s="2" t="inlineStr">
        <is>
          <t>Onsan</t>
        </is>
      </c>
      <c r="B5" s="2">
        <f>'1_Input_Parameters'!B17*100</f>
        <v/>
      </c>
      <c r="C5" s="2">
        <f>'2_6Scenario_Summary'!C2*'1_Input_Parameters'!B17</f>
        <v/>
      </c>
      <c r="D5" s="2">
        <f>'2_6Scenario_Summary'!C4*'1_Input_Parameters'!B17</f>
        <v/>
      </c>
      <c r="E5" s="2">
        <f>'2_6Scenario_Summary'!C6*'1_Input_Parameters'!B17</f>
        <v/>
      </c>
    </row>
    <row r="6">
      <c r="A6" s="2" t="inlineStr">
        <is>
          <t>TOTAL</t>
        </is>
      </c>
      <c r="B6" s="2" t="inlineStr">
        <is>
          <t>100%</t>
        </is>
      </c>
      <c r="C6" s="2">
        <f>SUM(C2:C5)</f>
        <v/>
      </c>
      <c r="D6" s="2">
        <f>SUM(D2:D5)</f>
        <v/>
      </c>
      <c r="E6" s="2">
        <f>SUM(E2:E5)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Location</t>
        </is>
      </c>
      <c r="B1" s="4" t="inlineStr">
        <is>
          <t>Share (%)</t>
        </is>
      </c>
      <c r="C1" s="4" t="inlineStr">
        <is>
          <t>Shaheen Elec (TWh)</t>
        </is>
      </c>
      <c r="D1" s="4" t="inlineStr">
        <is>
          <t>구조조정25% Elec (TWh)</t>
        </is>
      </c>
      <c r="E1" s="4" t="inlineStr">
        <is>
          <t>구조조정40% Elec (TWh)</t>
        </is>
      </c>
    </row>
    <row r="2">
      <c r="A2" s="2" t="inlineStr">
        <is>
          <t>Daesan</t>
        </is>
      </c>
      <c r="B2" s="2">
        <f>'1_Input_Parameters'!B20*100</f>
        <v/>
      </c>
      <c r="C2" s="2">
        <f>'2_6Scenario_Summary'!D3*'1_Input_Parameters'!B20</f>
        <v/>
      </c>
      <c r="D2" s="2">
        <f>'2_6Scenario_Summary'!D5*'1_Input_Parameters'!B20</f>
        <v/>
      </c>
      <c r="E2" s="2">
        <f>'2_6Scenario_Summary'!D7*'1_Input_Parameters'!B20</f>
        <v/>
      </c>
    </row>
    <row r="3">
      <c r="A3" s="2" t="inlineStr">
        <is>
          <t>Yeosu</t>
        </is>
      </c>
      <c r="B3" s="2">
        <f>'1_Input_Parameters'!B21*100</f>
        <v/>
      </c>
      <c r="C3" s="2">
        <f>'2_6Scenario_Summary'!D3*'1_Input_Parameters'!B21</f>
        <v/>
      </c>
      <c r="D3" s="2">
        <f>'2_6Scenario_Summary'!D5*'1_Input_Parameters'!B21</f>
        <v/>
      </c>
      <c r="E3" s="2">
        <f>'2_6Scenario_Summary'!D7*'1_Input_Parameters'!B21</f>
        <v/>
      </c>
    </row>
    <row r="4">
      <c r="A4" s="2" t="inlineStr">
        <is>
          <t>Ulsan</t>
        </is>
      </c>
      <c r="B4" s="2">
        <f>'1_Input_Parameters'!B22*100</f>
        <v/>
      </c>
      <c r="C4" s="2">
        <f>'2_6Scenario_Summary'!D3*'1_Input_Parameters'!B22</f>
        <v/>
      </c>
      <c r="D4" s="2">
        <f>'2_6Scenario_Summary'!D5*'1_Input_Parameters'!B22</f>
        <v/>
      </c>
      <c r="E4" s="2">
        <f>'2_6Scenario_Summary'!D7*'1_Input_Parameters'!B22</f>
        <v/>
      </c>
    </row>
    <row r="5">
      <c r="A5" s="2" t="inlineStr">
        <is>
          <t>Onsan</t>
        </is>
      </c>
      <c r="B5" s="2">
        <f>'1_Input_Parameters'!B23*100</f>
        <v/>
      </c>
      <c r="C5" s="2">
        <f>'2_6Scenario_Summary'!D3*'1_Input_Parameters'!B23</f>
        <v/>
      </c>
      <c r="D5" s="2">
        <f>'2_6Scenario_Summary'!D5*'1_Input_Parameters'!B23</f>
        <v/>
      </c>
      <c r="E5" s="2">
        <f>'2_6Scenario_Summary'!D7*'1_Input_Parameters'!B23</f>
        <v/>
      </c>
    </row>
    <row r="6">
      <c r="A6" s="2" t="inlineStr">
        <is>
          <t>TOTAL</t>
        </is>
      </c>
      <c r="B6" s="2" t="inlineStr">
        <is>
          <t>100%</t>
        </is>
      </c>
      <c r="C6" s="2">
        <f>SUM(C2:C5)</f>
        <v/>
      </c>
      <c r="D6" s="2">
        <f>SUM(D2:D5)</f>
        <v/>
      </c>
      <c r="E6" s="2">
        <f>SUM(E2:E5)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4" t="inlineStr">
        <is>
          <t>product</t>
        </is>
      </c>
      <c r="B1" s="4" t="inlineStr">
        <is>
          <t>company</t>
        </is>
      </c>
      <c r="C1" s="4" t="inlineStr">
        <is>
          <t>location</t>
        </is>
      </c>
      <c r="D1" s="4" t="inlineStr">
        <is>
          <t>complex</t>
        </is>
      </c>
      <c r="E1" s="4" t="inlineStr">
        <is>
          <t>capacity_kt</t>
        </is>
      </c>
      <c r="F1" s="4" t="inlineStr">
        <is>
          <t>year_built</t>
        </is>
      </c>
    </row>
    <row r="2">
      <c r="A2" s="2" t="inlineStr">
        <is>
          <t>Ethylene</t>
        </is>
      </c>
      <c r="B2" s="2" t="inlineStr">
        <is>
          <t>Lotte Chemical</t>
        </is>
      </c>
      <c r="C2" s="2" t="inlineStr">
        <is>
          <t>Daesan</t>
        </is>
      </c>
      <c r="D2" s="2" t="inlineStr">
        <is>
          <t>Daesan Complex</t>
        </is>
      </c>
      <c r="E2" s="2" t="n">
        <v>1100</v>
      </c>
      <c r="F2" s="2" t="n">
        <v>1991</v>
      </c>
    </row>
    <row r="3">
      <c r="A3" s="2" t="inlineStr">
        <is>
          <t>Ethylene</t>
        </is>
      </c>
      <c r="B3" s="2" t="inlineStr">
        <is>
          <t>HD Hyundai Chemical</t>
        </is>
      </c>
      <c r="C3" s="2" t="inlineStr">
        <is>
          <t>Daesan</t>
        </is>
      </c>
      <c r="D3" s="2" t="inlineStr">
        <is>
          <t>Daesan Complex</t>
        </is>
      </c>
      <c r="E3" s="2" t="n">
        <v>850</v>
      </c>
      <c r="F3" s="2" t="n">
        <v>2021</v>
      </c>
    </row>
    <row r="4">
      <c r="A4" s="2" t="inlineStr">
        <is>
          <t>Ethylene</t>
        </is>
      </c>
      <c r="B4" s="2" t="inlineStr">
        <is>
          <t>LG Chem</t>
        </is>
      </c>
      <c r="C4" s="2" t="inlineStr">
        <is>
          <t>Daesan</t>
        </is>
      </c>
      <c r="D4" s="2" t="inlineStr">
        <is>
          <t>Daesan Complex</t>
        </is>
      </c>
      <c r="E4" s="2" t="n">
        <v>1300</v>
      </c>
      <c r="F4" s="2" t="n">
        <v>1991</v>
      </c>
    </row>
    <row r="5">
      <c r="A5" s="2" t="inlineStr">
        <is>
          <t>Ethylene</t>
        </is>
      </c>
      <c r="B5" s="2" t="inlineStr">
        <is>
          <t>Hanwha TotalEnergies</t>
        </is>
      </c>
      <c r="C5" s="2" t="inlineStr">
        <is>
          <t>Daesan</t>
        </is>
      </c>
      <c r="D5" s="2" t="inlineStr">
        <is>
          <t>Daesan Complex</t>
        </is>
      </c>
      <c r="E5" s="2" t="n">
        <v>1525</v>
      </c>
      <c r="F5" s="2" t="n">
        <v>1991</v>
      </c>
    </row>
    <row r="6">
      <c r="A6" s="2" t="inlineStr">
        <is>
          <t>Ethylene</t>
        </is>
      </c>
      <c r="B6" s="2" t="inlineStr">
        <is>
          <t>Lotte Chemical</t>
        </is>
      </c>
      <c r="C6" s="2" t="inlineStr">
        <is>
          <t>Yeosu</t>
        </is>
      </c>
      <c r="D6" s="2" t="inlineStr">
        <is>
          <t>Yeosu Complex</t>
        </is>
      </c>
      <c r="E6" s="2" t="n">
        <v>1230</v>
      </c>
      <c r="F6" s="2" t="n">
        <v>1992</v>
      </c>
    </row>
    <row r="7">
      <c r="A7" s="2" t="inlineStr">
        <is>
          <t>Ethylene</t>
        </is>
      </c>
      <c r="B7" s="2" t="inlineStr">
        <is>
          <t>LG Chem</t>
        </is>
      </c>
      <c r="C7" s="2" t="inlineStr">
        <is>
          <t>Yeosu</t>
        </is>
      </c>
      <c r="D7" s="2" t="inlineStr">
        <is>
          <t>Yeosu Complex</t>
        </is>
      </c>
      <c r="E7" s="2" t="n">
        <v>1030</v>
      </c>
      <c r="F7" s="2" t="n">
        <v>2021</v>
      </c>
    </row>
    <row r="8">
      <c r="A8" s="2" t="inlineStr">
        <is>
          <t>Ethylene</t>
        </is>
      </c>
      <c r="B8" s="2" t="inlineStr">
        <is>
          <t>Yeochon NCC</t>
        </is>
      </c>
      <c r="C8" s="2" t="inlineStr">
        <is>
          <t>Yeosu</t>
        </is>
      </c>
      <c r="D8" s="2" t="inlineStr">
        <is>
          <t>Yeosu Complex</t>
        </is>
      </c>
      <c r="E8" s="2" t="n">
        <v>2285</v>
      </c>
      <c r="F8" s="2" t="n">
        <v>1979</v>
      </c>
    </row>
    <row r="9">
      <c r="A9" s="2" t="inlineStr">
        <is>
          <t>Ethylene</t>
        </is>
      </c>
      <c r="B9" s="2" t="inlineStr">
        <is>
          <t>GS Caltex</t>
        </is>
      </c>
      <c r="C9" s="2" t="inlineStr">
        <is>
          <t>Yeosu</t>
        </is>
      </c>
      <c r="D9" s="2" t="inlineStr">
        <is>
          <t>Yeosu Complex</t>
        </is>
      </c>
      <c r="E9" s="2" t="n">
        <v>900</v>
      </c>
      <c r="F9" s="2" t="n">
        <v>2021</v>
      </c>
    </row>
    <row r="10">
      <c r="A10" s="2" t="inlineStr">
        <is>
          <t>Ethylene</t>
        </is>
      </c>
      <c r="B10" s="2" t="inlineStr">
        <is>
          <t>Daehan Oil Chemical</t>
        </is>
      </c>
      <c r="C10" s="2" t="inlineStr">
        <is>
          <t>Onsan</t>
        </is>
      </c>
      <c r="D10" s="2" t="inlineStr">
        <is>
          <t>Ulsan Complex</t>
        </is>
      </c>
      <c r="E10" s="2" t="n">
        <v>900</v>
      </c>
      <c r="F10" s="2" t="n">
        <v>1991</v>
      </c>
    </row>
    <row r="11">
      <c r="A11" s="2" t="inlineStr">
        <is>
          <t>Ethylene</t>
        </is>
      </c>
      <c r="B11" s="2" t="inlineStr">
        <is>
          <t>S-Oil</t>
        </is>
      </c>
      <c r="C11" s="2" t="inlineStr">
        <is>
          <t>Onsan</t>
        </is>
      </c>
      <c r="D11" s="2" t="inlineStr">
        <is>
          <t>Ulsan Complex</t>
        </is>
      </c>
      <c r="E11" s="2" t="n">
        <v>182</v>
      </c>
      <c r="F11" s="2" t="n">
        <v>2018</v>
      </c>
    </row>
    <row r="12">
      <c r="A12" s="2" t="inlineStr">
        <is>
          <t>Ethylene</t>
        </is>
      </c>
      <c r="B12" s="2" t="inlineStr">
        <is>
          <t>SK Geocentric</t>
        </is>
      </c>
      <c r="C12" s="2" t="inlineStr">
        <is>
          <t>Ulsan</t>
        </is>
      </c>
      <c r="D12" s="2" t="inlineStr">
        <is>
          <t>Ulsan Complex</t>
        </is>
      </c>
      <c r="E12" s="2" t="n">
        <v>660</v>
      </c>
      <c r="F12" s="2" t="n">
        <v>1989</v>
      </c>
    </row>
    <row r="13">
      <c r="A13" s="2" t="inlineStr">
        <is>
          <t>Propylene</t>
        </is>
      </c>
      <c r="B13" s="2" t="inlineStr">
        <is>
          <t>Lotte Chemical</t>
        </is>
      </c>
      <c r="C13" s="2" t="inlineStr">
        <is>
          <t>Daesan</t>
        </is>
      </c>
      <c r="D13" s="2" t="inlineStr">
        <is>
          <t>Daesan Complex</t>
        </is>
      </c>
      <c r="E13" s="2" t="n">
        <v>550</v>
      </c>
      <c r="F13" s="2" t="n">
        <v>1997</v>
      </c>
    </row>
    <row r="14">
      <c r="A14" s="2" t="inlineStr">
        <is>
          <t>Propylene</t>
        </is>
      </c>
      <c r="B14" s="2" t="inlineStr">
        <is>
          <t>HDHyundai Oilbank</t>
        </is>
      </c>
      <c r="C14" s="2" t="inlineStr">
        <is>
          <t>Daesan</t>
        </is>
      </c>
      <c r="D14" s="2" t="inlineStr">
        <is>
          <t>Daesan Complex</t>
        </is>
      </c>
      <c r="E14" s="2" t="n">
        <v>420</v>
      </c>
      <c r="F14" s="2" t="n">
        <v>2011</v>
      </c>
    </row>
    <row r="15">
      <c r="A15" s="2" t="inlineStr">
        <is>
          <t>Propylene</t>
        </is>
      </c>
      <c r="B15" s="2" t="inlineStr">
        <is>
          <t>HD Hyundai Chemical</t>
        </is>
      </c>
      <c r="C15" s="2" t="inlineStr">
        <is>
          <t>Daesan</t>
        </is>
      </c>
      <c r="D15" s="2" t="inlineStr">
        <is>
          <t>Daesan Complex</t>
        </is>
      </c>
      <c r="E15" s="2" t="n">
        <v>451</v>
      </c>
      <c r="F15" s="2" t="n">
        <v>2021</v>
      </c>
    </row>
    <row r="16">
      <c r="A16" s="2" t="inlineStr">
        <is>
          <t>Propylene</t>
        </is>
      </c>
      <c r="B16" s="2" t="inlineStr">
        <is>
          <t>LG Chem</t>
        </is>
      </c>
      <c r="C16" s="2" t="inlineStr">
        <is>
          <t>Daesan</t>
        </is>
      </c>
      <c r="D16" s="2" t="inlineStr">
        <is>
          <t>Daesan Complex</t>
        </is>
      </c>
      <c r="E16" s="2" t="n">
        <v>680</v>
      </c>
      <c r="F16" s="2" t="n">
        <v>1991</v>
      </c>
    </row>
    <row r="17">
      <c r="A17" s="2" t="inlineStr">
        <is>
          <t>Propylene</t>
        </is>
      </c>
      <c r="B17" s="2" t="inlineStr">
        <is>
          <t>Hanwha TotalEnergies</t>
        </is>
      </c>
      <c r="C17" s="2" t="inlineStr">
        <is>
          <t>Daesan</t>
        </is>
      </c>
      <c r="D17" s="2" t="inlineStr">
        <is>
          <t>Daesan Complex</t>
        </is>
      </c>
      <c r="E17" s="2" t="n">
        <v>1064</v>
      </c>
      <c r="F17" s="2" t="n">
        <v>1991</v>
      </c>
    </row>
    <row r="18">
      <c r="A18" s="2" t="inlineStr">
        <is>
          <t>Propylene</t>
        </is>
      </c>
      <c r="B18" s="2" t="inlineStr">
        <is>
          <t>Lotte Chemical</t>
        </is>
      </c>
      <c r="C18" s="2" t="inlineStr">
        <is>
          <t>Yeosu</t>
        </is>
      </c>
      <c r="D18" s="2" t="inlineStr">
        <is>
          <t>Yeosu Complex</t>
        </is>
      </c>
      <c r="E18" s="2" t="n">
        <v>641</v>
      </c>
      <c r="F18" s="2" t="n">
        <v>1992</v>
      </c>
    </row>
    <row r="19">
      <c r="A19" s="2" t="inlineStr">
        <is>
          <t>Propylene</t>
        </is>
      </c>
      <c r="B19" s="2" t="inlineStr">
        <is>
          <t>LG Chem</t>
        </is>
      </c>
      <c r="C19" s="2" t="inlineStr">
        <is>
          <t>Yeosu</t>
        </is>
      </c>
      <c r="D19" s="2" t="inlineStr">
        <is>
          <t>Yeosu Complex</t>
        </is>
      </c>
      <c r="E19" s="2" t="n">
        <v>1300</v>
      </c>
      <c r="F19" s="2" t="n">
        <v>2021</v>
      </c>
    </row>
    <row r="20">
      <c r="A20" s="2" t="inlineStr">
        <is>
          <t>Propylene</t>
        </is>
      </c>
      <c r="B20" s="2" t="inlineStr">
        <is>
          <t>Yeochon NCC</t>
        </is>
      </c>
      <c r="C20" s="2" t="inlineStr">
        <is>
          <t>Yeosu</t>
        </is>
      </c>
      <c r="D20" s="2" t="inlineStr">
        <is>
          <t>Yeosu Complex</t>
        </is>
      </c>
      <c r="E20" s="2" t="n">
        <v>1289</v>
      </c>
      <c r="F20" s="2" t="n">
        <v>1979</v>
      </c>
    </row>
    <row r="21">
      <c r="A21" s="2" t="inlineStr">
        <is>
          <t>Propylene</t>
        </is>
      </c>
      <c r="B21" s="2" t="inlineStr">
        <is>
          <t>GS Caltex</t>
        </is>
      </c>
      <c r="C21" s="2" t="inlineStr">
        <is>
          <t>Yeosu</t>
        </is>
      </c>
      <c r="D21" s="2" t="inlineStr">
        <is>
          <t>Yeosu Complex</t>
        </is>
      </c>
      <c r="E21" s="2" t="n">
        <v>970</v>
      </c>
      <c r="F21" s="2" t="n">
        <v>2021</v>
      </c>
    </row>
    <row r="22">
      <c r="A22" s="2" t="inlineStr">
        <is>
          <t>Propylene</t>
        </is>
      </c>
      <c r="B22" s="2" t="inlineStr">
        <is>
          <t>Daehan Oil Chemical</t>
        </is>
      </c>
      <c r="C22" s="2" t="inlineStr">
        <is>
          <t>Onsan</t>
        </is>
      </c>
      <c r="D22" s="2" t="inlineStr">
        <is>
          <t>Ulsan Complex</t>
        </is>
      </c>
      <c r="E22" s="2" t="n">
        <v>560</v>
      </c>
      <c r="F22" s="2" t="n">
        <v>1991</v>
      </c>
    </row>
    <row r="23">
      <c r="A23" s="2" t="inlineStr">
        <is>
          <t>Propylene</t>
        </is>
      </c>
      <c r="B23" s="2" t="inlineStr">
        <is>
          <t>S-Oil</t>
        </is>
      </c>
      <c r="C23" s="2" t="inlineStr">
        <is>
          <t>Onsan</t>
        </is>
      </c>
      <c r="D23" s="2" t="inlineStr">
        <is>
          <t>Ulsan Complex</t>
        </is>
      </c>
      <c r="E23" s="2" t="n">
        <v>840</v>
      </c>
      <c r="F23" s="2" t="n">
        <v>2018</v>
      </c>
    </row>
    <row r="24">
      <c r="A24" s="2" t="inlineStr">
        <is>
          <t>Propylene</t>
        </is>
      </c>
      <c r="B24" s="2" t="inlineStr">
        <is>
          <t>SK Advanced</t>
        </is>
      </c>
      <c r="C24" s="2" t="inlineStr">
        <is>
          <t>Ulsan</t>
        </is>
      </c>
      <c r="D24" s="2" t="inlineStr">
        <is>
          <t>Ulsan Complex</t>
        </is>
      </c>
      <c r="E24" s="2" t="n">
        <v>600</v>
      </c>
      <c r="F24" s="2" t="n">
        <v>2016</v>
      </c>
    </row>
    <row r="25">
      <c r="A25" s="2" t="inlineStr">
        <is>
          <t>Propylene</t>
        </is>
      </c>
      <c r="B25" s="2" t="inlineStr">
        <is>
          <t>SK Energy</t>
        </is>
      </c>
      <c r="C25" s="2" t="inlineStr">
        <is>
          <t>Ulsan</t>
        </is>
      </c>
      <c r="D25" s="2" t="inlineStr">
        <is>
          <t>Ulsan Complex</t>
        </is>
      </c>
      <c r="E25" s="2" t="n">
        <v>620</v>
      </c>
      <c r="F25" s="2" t="n">
        <v>1996</v>
      </c>
    </row>
    <row r="26">
      <c r="A26" s="2" t="inlineStr">
        <is>
          <t>Propylene</t>
        </is>
      </c>
      <c r="B26" s="2" t="inlineStr">
        <is>
          <t>SK Geocentric</t>
        </is>
      </c>
      <c r="C26" s="2" t="inlineStr">
        <is>
          <t>Ulsan</t>
        </is>
      </c>
      <c r="D26" s="2" t="inlineStr">
        <is>
          <t>Ulsan Complex</t>
        </is>
      </c>
      <c r="E26" s="2" t="n">
        <v>380</v>
      </c>
      <c r="F26" s="2" t="n">
        <v>1989</v>
      </c>
    </row>
    <row r="27">
      <c r="A27" s="2" t="inlineStr">
        <is>
          <t>Propylene</t>
        </is>
      </c>
      <c r="B27" s="2" t="inlineStr">
        <is>
          <t>Taekwang Industrial</t>
        </is>
      </c>
      <c r="C27" s="2" t="inlineStr">
        <is>
          <t>Ulsan</t>
        </is>
      </c>
      <c r="D27" s="2" t="inlineStr">
        <is>
          <t>Ulsan Complex</t>
        </is>
      </c>
      <c r="E27" s="2" t="n">
        <v>300</v>
      </c>
      <c r="F27" s="2" t="n">
        <v>1997</v>
      </c>
    </row>
    <row r="28">
      <c r="A28" s="2" t="inlineStr">
        <is>
          <t>Propylene</t>
        </is>
      </c>
      <c r="B28" s="2" t="inlineStr">
        <is>
          <t>Hyosung Chemical</t>
        </is>
      </c>
      <c r="C28" s="2" t="inlineStr">
        <is>
          <t>Ulsan</t>
        </is>
      </c>
      <c r="D28" s="2" t="inlineStr">
        <is>
          <t>Ulsan Complex</t>
        </is>
      </c>
      <c r="E28" s="2" t="n">
        <v>500</v>
      </c>
      <c r="F28" s="2" t="n">
        <v>1991</v>
      </c>
    </row>
    <row r="29">
      <c r="A29" s="2" t="inlineStr">
        <is>
          <t>Butadiene</t>
        </is>
      </c>
      <c r="B29" s="2" t="inlineStr">
        <is>
          <t>Lotte Chemical</t>
        </is>
      </c>
      <c r="C29" s="2" t="inlineStr">
        <is>
          <t>Daesan</t>
        </is>
      </c>
      <c r="D29" s="2" t="inlineStr">
        <is>
          <t>Daesan Complex</t>
        </is>
      </c>
      <c r="E29" s="2" t="n">
        <v>190</v>
      </c>
      <c r="F29" s="2" t="n">
        <v>1997</v>
      </c>
    </row>
    <row r="30">
      <c r="A30" s="2" t="inlineStr">
        <is>
          <t>Butadiene</t>
        </is>
      </c>
      <c r="B30" s="2" t="inlineStr">
        <is>
          <t>HD Hyundai Chemical</t>
        </is>
      </c>
      <c r="C30" s="2" t="inlineStr">
        <is>
          <t>Daesan</t>
        </is>
      </c>
      <c r="D30" s="2" t="inlineStr">
        <is>
          <t>Daesan Complex</t>
        </is>
      </c>
      <c r="E30" s="2" t="n">
        <v>163</v>
      </c>
      <c r="F30" s="2" t="n">
        <v>2021</v>
      </c>
    </row>
    <row r="31">
      <c r="A31" s="2" t="inlineStr">
        <is>
          <t>Butadiene</t>
        </is>
      </c>
      <c r="B31" s="2" t="inlineStr">
        <is>
          <t>LG Chem</t>
        </is>
      </c>
      <c r="C31" s="2" t="inlineStr">
        <is>
          <t>Daesan</t>
        </is>
      </c>
      <c r="D31" s="2" t="inlineStr">
        <is>
          <t>Daesan Complex</t>
        </is>
      </c>
      <c r="E31" s="2" t="n">
        <v>200</v>
      </c>
      <c r="F31" s="2" t="n">
        <v>1991</v>
      </c>
    </row>
    <row r="32">
      <c r="A32" s="2" t="inlineStr">
        <is>
          <t>Butadiene</t>
        </is>
      </c>
      <c r="B32" s="2" t="inlineStr">
        <is>
          <t>Hanwha TotalEnergies</t>
        </is>
      </c>
      <c r="C32" s="2" t="inlineStr">
        <is>
          <t>Daesan</t>
        </is>
      </c>
      <c r="D32" s="2" t="inlineStr">
        <is>
          <t>Daesan Complex</t>
        </is>
      </c>
      <c r="E32" s="2" t="n">
        <v>150</v>
      </c>
      <c r="F32" s="2" t="n">
        <v>1991</v>
      </c>
    </row>
    <row r="33">
      <c r="A33" s="2" t="inlineStr">
        <is>
          <t>Butadiene</t>
        </is>
      </c>
      <c r="B33" s="2" t="inlineStr">
        <is>
          <t>Kumho Petrochemical</t>
        </is>
      </c>
      <c r="C33" s="2" t="inlineStr">
        <is>
          <t>Yeosu</t>
        </is>
      </c>
      <c r="D33" s="2" t="inlineStr">
        <is>
          <t>Yeosu Complex</t>
        </is>
      </c>
      <c r="E33" s="2" t="n">
        <v>147</v>
      </c>
      <c r="F33" s="2" t="n">
        <v>1992</v>
      </c>
    </row>
    <row r="34">
      <c r="A34" s="2" t="inlineStr">
        <is>
          <t>Butadiene</t>
        </is>
      </c>
      <c r="B34" s="2" t="inlineStr">
        <is>
          <t>Lotte GS Chemical</t>
        </is>
      </c>
      <c r="C34" s="2" t="inlineStr">
        <is>
          <t>Yeosu</t>
        </is>
      </c>
      <c r="D34" s="2" t="inlineStr">
        <is>
          <t>Yeosu Complex</t>
        </is>
      </c>
      <c r="E34" s="2" t="n">
        <v>130</v>
      </c>
      <c r="F34" s="2" t="n">
        <v>2022</v>
      </c>
    </row>
    <row r="35">
      <c r="A35" s="2" t="inlineStr">
        <is>
          <t>Butadiene</t>
        </is>
      </c>
      <c r="B35" s="2" t="inlineStr">
        <is>
          <t>Lotte Chemical</t>
        </is>
      </c>
      <c r="C35" s="2" t="inlineStr">
        <is>
          <t>Yeosu</t>
        </is>
      </c>
      <c r="D35" s="2" t="inlineStr">
        <is>
          <t>Yeosu Complex</t>
        </is>
      </c>
      <c r="E35" s="2" t="n">
        <v>160</v>
      </c>
      <c r="F35" s="2" t="n">
        <v>2011</v>
      </c>
    </row>
    <row r="36">
      <c r="A36" s="2" t="inlineStr">
        <is>
          <t>Butadiene</t>
        </is>
      </c>
      <c r="B36" s="2" t="inlineStr">
        <is>
          <t>LG Chem</t>
        </is>
      </c>
      <c r="C36" s="2" t="inlineStr">
        <is>
          <t>Yeosu</t>
        </is>
      </c>
      <c r="D36" s="2" t="inlineStr">
        <is>
          <t>Yeosu Complex</t>
        </is>
      </c>
      <c r="E36" s="2" t="n">
        <v>306</v>
      </c>
      <c r="F36" s="2" t="n">
        <v>1991</v>
      </c>
    </row>
    <row r="37">
      <c r="A37" s="2" t="inlineStr">
        <is>
          <t>Butadiene</t>
        </is>
      </c>
      <c r="B37" s="2" t="inlineStr">
        <is>
          <t>Yeochon NCC</t>
        </is>
      </c>
      <c r="C37" s="2" t="inlineStr">
        <is>
          <t>Yeosu</t>
        </is>
      </c>
      <c r="D37" s="2" t="inlineStr">
        <is>
          <t>Yeosu Complex</t>
        </is>
      </c>
      <c r="E37" s="2" t="n">
        <v>378</v>
      </c>
      <c r="F37" s="2" t="n">
        <v>1992</v>
      </c>
    </row>
    <row r="38">
      <c r="A38" s="2" t="inlineStr">
        <is>
          <t>Butadiene</t>
        </is>
      </c>
      <c r="B38" s="2" t="inlineStr">
        <is>
          <t>Kumho Petrochemical</t>
        </is>
      </c>
      <c r="C38" s="2" t="inlineStr">
        <is>
          <t>Ulsan</t>
        </is>
      </c>
      <c r="D38" s="2" t="inlineStr">
        <is>
          <t>Ulsan Complex</t>
        </is>
      </c>
      <c r="E38" s="2" t="n">
        <v>90</v>
      </c>
      <c r="F38" s="2" t="n">
        <v>1979</v>
      </c>
    </row>
    <row r="39">
      <c r="A39" s="2" t="inlineStr">
        <is>
          <t>Butadiene</t>
        </is>
      </c>
      <c r="B39" s="2" t="inlineStr">
        <is>
          <t>Daehan Oil Chemical</t>
        </is>
      </c>
      <c r="C39" s="2" t="inlineStr">
        <is>
          <t>Ulsan</t>
        </is>
      </c>
      <c r="D39" s="2" t="inlineStr">
        <is>
          <t>Ulsan Complex</t>
        </is>
      </c>
      <c r="E39" s="2" t="n">
        <v>146</v>
      </c>
      <c r="F39" s="2" t="n">
        <v>2023</v>
      </c>
    </row>
    <row r="40">
      <c r="A40" s="2" t="inlineStr">
        <is>
          <t>Butadiene</t>
        </is>
      </c>
      <c r="B40" s="2" t="inlineStr">
        <is>
          <t>SK Geocentric</t>
        </is>
      </c>
      <c r="C40" s="2" t="inlineStr">
        <is>
          <t>Ulsan</t>
        </is>
      </c>
      <c r="D40" s="2" t="inlineStr">
        <is>
          <t>Ulsan Complex</t>
        </is>
      </c>
      <c r="E40" s="2" t="n">
        <v>130</v>
      </c>
      <c r="F40" s="2" t="n">
        <v>1989</v>
      </c>
    </row>
    <row r="41">
      <c r="A41" s="2" t="inlineStr">
        <is>
          <t>C-H</t>
        </is>
      </c>
      <c r="B41" s="2" t="inlineStr">
        <is>
          <t>SK Geocentric</t>
        </is>
      </c>
      <c r="C41" s="2" t="inlineStr">
        <is>
          <t>Ulsan</t>
        </is>
      </c>
      <c r="D41" s="2" t="inlineStr">
        <is>
          <t>Ulsan Complex</t>
        </is>
      </c>
      <c r="E41" s="2" t="n">
        <v>160</v>
      </c>
      <c r="F41" s="2" t="n">
        <v>1974</v>
      </c>
    </row>
    <row r="42">
      <c r="A42" s="2" t="inlineStr">
        <is>
          <t>C-H</t>
        </is>
      </c>
      <c r="B42" s="2" t="inlineStr">
        <is>
          <t>Caprolactam</t>
        </is>
      </c>
      <c r="C42" s="2" t="inlineStr">
        <is>
          <t>Ulsan</t>
        </is>
      </c>
      <c r="D42" s="2" t="inlineStr">
        <is>
          <t>Ulsan Complex</t>
        </is>
      </c>
      <c r="E42" s="2" t="n">
        <v>190</v>
      </c>
      <c r="F42" s="2" t="n">
        <v>2000</v>
      </c>
    </row>
    <row r="43">
      <c r="A43" s="5" t="inlineStr">
        <is>
          <t>TOTAL</t>
        </is>
      </c>
      <c r="E43" t="n">
        <v>25667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4" t="inlineStr">
        <is>
          <t>company</t>
        </is>
      </c>
      <c r="B1" s="4" t="inlineStr">
        <is>
          <t>location</t>
        </is>
      </c>
      <c r="C1" s="4" t="inlineStr">
        <is>
          <t>complex</t>
        </is>
      </c>
      <c r="D1" s="4" t="inlineStr">
        <is>
          <t>capacity_kt</t>
        </is>
      </c>
      <c r="E1" s="4" t="inlineStr">
        <is>
          <t>year_built</t>
        </is>
      </c>
    </row>
    <row r="2">
      <c r="A2" s="2" t="inlineStr">
        <is>
          <t>Lotte Chemical</t>
        </is>
      </c>
      <c r="B2" s="2" t="inlineStr">
        <is>
          <t>Daesan</t>
        </is>
      </c>
      <c r="C2" s="2" t="inlineStr">
        <is>
          <t>Daesan Complex</t>
        </is>
      </c>
      <c r="D2" s="2" t="n">
        <v>1100</v>
      </c>
      <c r="E2" s="2" t="n">
        <v>1991</v>
      </c>
    </row>
    <row r="3">
      <c r="A3" s="2" t="inlineStr">
        <is>
          <t>HD Hyundai Chemical</t>
        </is>
      </c>
      <c r="B3" s="2" t="inlineStr">
        <is>
          <t>Daesan</t>
        </is>
      </c>
      <c r="C3" s="2" t="inlineStr">
        <is>
          <t>Daesan Complex</t>
        </is>
      </c>
      <c r="D3" s="2" t="n">
        <v>850</v>
      </c>
      <c r="E3" s="2" t="n">
        <v>2021</v>
      </c>
    </row>
    <row r="4">
      <c r="A4" s="2" t="inlineStr">
        <is>
          <t>LG Chem</t>
        </is>
      </c>
      <c r="B4" s="2" t="inlineStr">
        <is>
          <t>Daesan</t>
        </is>
      </c>
      <c r="C4" s="2" t="inlineStr">
        <is>
          <t>Daesan Complex</t>
        </is>
      </c>
      <c r="D4" s="2" t="n">
        <v>1300</v>
      </c>
      <c r="E4" s="2" t="n">
        <v>1991</v>
      </c>
    </row>
    <row r="5">
      <c r="A5" s="2" t="inlineStr">
        <is>
          <t>Hanwha TotalEnergies</t>
        </is>
      </c>
      <c r="B5" s="2" t="inlineStr">
        <is>
          <t>Daesan</t>
        </is>
      </c>
      <c r="C5" s="2" t="inlineStr">
        <is>
          <t>Daesan Complex</t>
        </is>
      </c>
      <c r="D5" s="2" t="n">
        <v>1525</v>
      </c>
      <c r="E5" s="2" t="n">
        <v>1991</v>
      </c>
    </row>
    <row r="6">
      <c r="A6" s="2" t="inlineStr">
        <is>
          <t>Lotte Chemical</t>
        </is>
      </c>
      <c r="B6" s="2" t="inlineStr">
        <is>
          <t>Yeosu</t>
        </is>
      </c>
      <c r="C6" s="2" t="inlineStr">
        <is>
          <t>Yeosu Complex</t>
        </is>
      </c>
      <c r="D6" s="2" t="n">
        <v>1230</v>
      </c>
      <c r="E6" s="2" t="n">
        <v>1992</v>
      </c>
    </row>
    <row r="7">
      <c r="A7" s="2" t="inlineStr">
        <is>
          <t>LG Chem</t>
        </is>
      </c>
      <c r="B7" s="2" t="inlineStr">
        <is>
          <t>Yeosu</t>
        </is>
      </c>
      <c r="C7" s="2" t="inlineStr">
        <is>
          <t>Yeosu Complex</t>
        </is>
      </c>
      <c r="D7" s="2" t="n">
        <v>1030</v>
      </c>
      <c r="E7" s="2" t="n">
        <v>2021</v>
      </c>
    </row>
    <row r="8">
      <c r="A8" s="2" t="inlineStr">
        <is>
          <t>Yeochon NCC</t>
        </is>
      </c>
      <c r="B8" s="2" t="inlineStr">
        <is>
          <t>Yeosu</t>
        </is>
      </c>
      <c r="C8" s="2" t="inlineStr">
        <is>
          <t>Yeosu Complex</t>
        </is>
      </c>
      <c r="D8" s="2" t="n">
        <v>2285</v>
      </c>
      <c r="E8" s="2" t="n">
        <v>1979</v>
      </c>
    </row>
    <row r="9">
      <c r="A9" s="2" t="inlineStr">
        <is>
          <t>GS Caltex</t>
        </is>
      </c>
      <c r="B9" s="2" t="inlineStr">
        <is>
          <t>Yeosu</t>
        </is>
      </c>
      <c r="C9" s="2" t="inlineStr">
        <is>
          <t>Yeosu Complex</t>
        </is>
      </c>
      <c r="D9" s="2" t="n">
        <v>900</v>
      </c>
      <c r="E9" s="2" t="n">
        <v>2021</v>
      </c>
    </row>
    <row r="10">
      <c r="A10" s="2" t="inlineStr">
        <is>
          <t>Daehan Oil Chemical</t>
        </is>
      </c>
      <c r="B10" s="2" t="inlineStr">
        <is>
          <t>Onsan</t>
        </is>
      </c>
      <c r="C10" s="2" t="inlineStr">
        <is>
          <t>Ulsan Complex</t>
        </is>
      </c>
      <c r="D10" s="2" t="n">
        <v>900</v>
      </c>
      <c r="E10" s="2" t="n">
        <v>1991</v>
      </c>
    </row>
    <row r="11">
      <c r="A11" s="2" t="inlineStr">
        <is>
          <t>S-Oil</t>
        </is>
      </c>
      <c r="B11" s="2" t="inlineStr">
        <is>
          <t>Onsan</t>
        </is>
      </c>
      <c r="C11" s="2" t="inlineStr">
        <is>
          <t>Ulsan Complex</t>
        </is>
      </c>
      <c r="D11" s="2" t="n">
        <v>182</v>
      </c>
      <c r="E11" s="2" t="n">
        <v>2018</v>
      </c>
    </row>
    <row r="12">
      <c r="A12" s="2" t="inlineStr">
        <is>
          <t>SK Geocentric</t>
        </is>
      </c>
      <c r="B12" s="2" t="inlineStr">
        <is>
          <t>Ulsan</t>
        </is>
      </c>
      <c r="C12" s="2" t="inlineStr">
        <is>
          <t>Ulsan Complex</t>
        </is>
      </c>
      <c r="D12" s="2" t="n">
        <v>660</v>
      </c>
      <c r="E12" s="2" t="n">
        <v>1989</v>
      </c>
    </row>
    <row r="13">
      <c r="A13" s="5" t="inlineStr">
        <is>
          <t>TOTAL</t>
        </is>
      </c>
      <c r="D13" t="n">
        <v>11962</v>
      </c>
    </row>
    <row r="15">
      <c r="A15" s="5" t="inlineStr">
        <is>
          <t>By Location:</t>
        </is>
      </c>
    </row>
    <row r="16">
      <c r="A16" t="inlineStr">
        <is>
          <t>Daesan</t>
        </is>
      </c>
      <c r="D16" t="n">
        <v>4775</v>
      </c>
      <c r="E16" t="inlineStr">
        <is>
          <t>39.9%</t>
        </is>
      </c>
    </row>
    <row r="17">
      <c r="A17" t="inlineStr">
        <is>
          <t>Onsan</t>
        </is>
      </c>
      <c r="D17" t="n">
        <v>1082</v>
      </c>
      <c r="E17" t="inlineStr">
        <is>
          <t>9.0%</t>
        </is>
      </c>
    </row>
    <row r="18">
      <c r="A18" t="inlineStr">
        <is>
          <t>Ulsan</t>
        </is>
      </c>
      <c r="D18" t="n">
        <v>660</v>
      </c>
      <c r="E18" t="inlineStr">
        <is>
          <t>5.5%</t>
        </is>
      </c>
    </row>
    <row r="19">
      <c r="A19" t="inlineStr">
        <is>
          <t>Yeosu</t>
        </is>
      </c>
      <c r="D19" t="n">
        <v>5445</v>
      </c>
      <c r="E19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2025-11-27T08:39:22Z</dcterms:created>
  <dcterms:modified xmlns:dcterms="http://purl.org/dc/terms/" xmlns:xsi="http://www.w3.org/2001/XMLSchema-instance" xsi:type="dcterms:W3CDTF">2025-11-27T09:12:34Z</dcterms:modified>
</cp:coreProperties>
</file>