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arameters" sheetId="1" state="visible" r:id="rId1"/>
    <sheet xmlns:r="http://schemas.openxmlformats.org/officeDocument/2006/relationships" name="2_Prices" sheetId="2" state="visible" r:id="rId2"/>
    <sheet xmlns:r="http://schemas.openxmlformats.org/officeDocument/2006/relationships" name="3_LCOH" sheetId="3" state="visible" r:id="rId3"/>
    <sheet xmlns:r="http://schemas.openxmlformats.org/officeDocument/2006/relationships" name="4_NCC_Costs" sheetId="4" state="visible" r:id="rId4"/>
    <sheet xmlns:r="http://schemas.openxmlformats.org/officeDocument/2006/relationships" name="5_MACC" sheetId="5" state="visible" r:id="rId5"/>
    <sheet xmlns:r="http://schemas.openxmlformats.org/officeDocument/2006/relationships" name="6_Summary" sheetId="6" state="visible" r:id="rId6"/>
    <sheet xmlns:r="http://schemas.openxmlformats.org/officeDocument/2006/relationships" name="7_Breakev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4472C4"/>
        <bgColor rgb="004472C4"/>
      </patternFill>
    </fill>
    <fill>
      <patternFill patternType="solid">
        <fgColor rgb="002ECC71"/>
        <bgColor rgb="002ECC71"/>
      </patternFill>
    </fill>
    <fill>
      <patternFill patternType="solid">
        <fgColor rgb="00E67E22"/>
        <bgColor rgb="00E67E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2" borderId="1" pivotButton="0" quotePrefix="0" xfId="0"/>
    <xf numFmtId="0" fontId="2" fillId="3" borderId="1" pivotButton="0" quotePrefix="0" xfId="0"/>
    <xf numFmtId="0" fontId="1" fillId="0" borderId="0" pivotButton="0" quotePrefix="0" xfId="0"/>
    <xf numFmtId="0" fontId="2" fillId="4" borderId="0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25" customWidth="1" min="4" max="4"/>
    <col width="15" customWidth="1" min="5" max="5"/>
  </cols>
  <sheetData>
    <row r="1">
      <c r="A1" s="1" t="inlineStr">
        <is>
          <t>Comprehensive Cost Model with LCOH</t>
        </is>
      </c>
      <c r="B1" s="1" t="inlineStr"/>
      <c r="C1" s="1" t="inlineStr"/>
      <c r="D1" s="1" t="inlineStr"/>
      <c r="E1" s="1" t="inlineStr"/>
    </row>
    <row r="2">
      <c r="A2" s="1" t="inlineStr"/>
      <c r="B2" s="1" t="inlineStr"/>
      <c r="C2" s="1" t="inlineStr"/>
      <c r="D2" s="1" t="inlineStr"/>
      <c r="E2" s="1" t="inlineStr"/>
    </row>
    <row r="3">
      <c r="A3" s="2">
        <f>== BASELINE PRODUCTION ===</f>
        <v/>
      </c>
      <c r="B3" s="1" t="inlineStr"/>
      <c r="C3" s="1" t="inlineStr"/>
      <c r="D3" s="1" t="inlineStr"/>
      <c r="E3" s="1" t="inlineStr"/>
    </row>
    <row r="4">
      <c r="A4" s="1" t="inlineStr">
        <is>
          <t>Ethylene Baseline Capacity</t>
        </is>
      </c>
      <c r="B4" s="3" t="n">
        <v>11962</v>
      </c>
      <c r="C4" s="1" t="inlineStr">
        <is>
          <t>kt/year</t>
        </is>
      </c>
      <c r="D4" s="1" t="inlineStr">
        <is>
          <t>11 NCC facilities</t>
        </is>
      </c>
      <c r="E4" s="1" t="inlineStr"/>
    </row>
    <row r="5">
      <c r="A5" s="1" t="inlineStr">
        <is>
          <t>Shaheen Multiplier (2050)</t>
        </is>
      </c>
      <c r="B5" s="3" t="n">
        <v>1.15</v>
      </c>
      <c r="C5" s="1" t="inlineStr"/>
      <c r="D5" s="1" t="inlineStr"/>
      <c r="E5" s="1" t="inlineStr"/>
    </row>
    <row r="6">
      <c r="A6" s="1" t="inlineStr"/>
      <c r="B6" s="1" t="inlineStr"/>
      <c r="C6" s="1" t="inlineStr"/>
      <c r="D6" s="1" t="inlineStr"/>
      <c r="E6" s="1" t="inlineStr"/>
    </row>
    <row r="7">
      <c r="A7" s="2">
        <f>== NCC-H2 TECHNOLOGY ===</f>
        <v/>
      </c>
      <c r="B7" s="1" t="inlineStr"/>
      <c r="C7" s="1" t="inlineStr"/>
      <c r="D7" s="1" t="inlineStr"/>
      <c r="E7" s="1" t="inlineStr"/>
    </row>
    <row r="8">
      <c r="A8" s="1" t="inlineStr">
        <is>
          <t>H2 Intensity</t>
        </is>
      </c>
      <c r="B8" s="3" t="n">
        <v>0.5600000000000001</v>
      </c>
      <c r="C8" s="1" t="inlineStr">
        <is>
          <t>ton H2/ton C2H4</t>
        </is>
      </c>
      <c r="D8" s="1" t="inlineStr">
        <is>
          <t>Lummus Tech 2023</t>
        </is>
      </c>
      <c r="E8" s="1" t="inlineStr"/>
    </row>
    <row r="9">
      <c r="A9" s="1" t="inlineStr">
        <is>
          <t>CAPEX 2025</t>
        </is>
      </c>
      <c r="B9" s="3" t="n">
        <v>1550</v>
      </c>
      <c r="C9" s="1" t="inlineStr">
        <is>
          <t>$/t-C2H4/yr</t>
        </is>
      </c>
      <c r="D9" s="1" t="inlineStr"/>
      <c r="E9" s="1" t="inlineStr"/>
    </row>
    <row r="10">
      <c r="A10" s="1" t="inlineStr">
        <is>
          <t>CAPEX 2030</t>
        </is>
      </c>
      <c r="B10" s="3" t="n">
        <v>1300</v>
      </c>
      <c r="C10" s="1" t="inlineStr">
        <is>
          <t>$/t-C2H4/yr</t>
        </is>
      </c>
      <c r="D10" s="1" t="inlineStr"/>
      <c r="E10" s="1" t="inlineStr"/>
    </row>
    <row r="11">
      <c r="A11" s="1" t="inlineStr">
        <is>
          <t>CAPEX 2040</t>
        </is>
      </c>
      <c r="B11" s="3" t="n">
        <v>935</v>
      </c>
      <c r="C11" s="1" t="inlineStr">
        <is>
          <t>$/t-C2H4/yr</t>
        </is>
      </c>
      <c r="D11" s="1" t="inlineStr"/>
      <c r="E11" s="1" t="inlineStr"/>
    </row>
    <row r="12">
      <c r="A12" s="1" t="inlineStr">
        <is>
          <t>CAPEX 2050</t>
        </is>
      </c>
      <c r="B12" s="3" t="n">
        <v>780</v>
      </c>
      <c r="C12" s="1" t="inlineStr">
        <is>
          <t>$/t-C2H4/yr</t>
        </is>
      </c>
      <c r="D12" s="1" t="inlineStr"/>
      <c r="E12" s="1" t="inlineStr"/>
    </row>
    <row r="13">
      <c r="A13" s="1" t="inlineStr">
        <is>
          <t>OPEX (% of CAPEX)</t>
        </is>
      </c>
      <c r="B13" s="3" t="n">
        <v>4</v>
      </c>
      <c r="C13" s="1" t="inlineStr">
        <is>
          <t>%</t>
        </is>
      </c>
      <c r="D13" s="1" t="inlineStr"/>
      <c r="E13" s="1" t="inlineStr"/>
    </row>
    <row r="14">
      <c r="A14" s="1" t="inlineStr">
        <is>
          <t>Lifetime</t>
        </is>
      </c>
      <c r="B14" s="3" t="n">
        <v>25</v>
      </c>
      <c r="C14" s="1" t="inlineStr">
        <is>
          <t>years</t>
        </is>
      </c>
      <c r="D14" s="1" t="inlineStr"/>
      <c r="E14" s="1" t="inlineStr"/>
    </row>
    <row r="15">
      <c r="A15" s="1" t="inlineStr"/>
      <c r="B15" s="1" t="inlineStr"/>
      <c r="C15" s="1" t="inlineStr"/>
      <c r="D15" s="1" t="inlineStr"/>
      <c r="E15" s="1" t="inlineStr"/>
    </row>
    <row r="16">
      <c r="A16" s="2">
        <f>== NCC-ELECTRICITY TECHNOLOGY ===</f>
        <v/>
      </c>
      <c r="B16" s="1" t="inlineStr"/>
      <c r="C16" s="1" t="inlineStr"/>
      <c r="D16" s="1" t="inlineStr"/>
      <c r="E16" s="1" t="inlineStr"/>
    </row>
    <row r="17">
      <c r="A17" s="1" t="inlineStr">
        <is>
          <t>Elec Intensity</t>
        </is>
      </c>
      <c r="B17" s="3" t="n">
        <v>5</v>
      </c>
      <c r="C17" s="1" t="inlineStr">
        <is>
          <t>MWh/ton C2H4</t>
        </is>
      </c>
      <c r="D17" s="1" t="inlineStr">
        <is>
          <t>BASF/SABIC/Linde 2024</t>
        </is>
      </c>
      <c r="E17" s="1" t="inlineStr"/>
    </row>
    <row r="18">
      <c r="A18" s="1" t="inlineStr">
        <is>
          <t>CAPEX 2025</t>
        </is>
      </c>
      <c r="B18" s="3" t="n">
        <v>1500</v>
      </c>
      <c r="C18" s="1" t="inlineStr">
        <is>
          <t>$/t-C2H4/yr</t>
        </is>
      </c>
      <c r="D18" s="1" t="inlineStr"/>
      <c r="E18" s="1" t="inlineStr"/>
    </row>
    <row r="19">
      <c r="A19" s="1" t="inlineStr">
        <is>
          <t>CAPEX 2030</t>
        </is>
      </c>
      <c r="B19" s="3" t="n">
        <v>1350</v>
      </c>
      <c r="C19" s="1" t="inlineStr">
        <is>
          <t>$/t-C2H4/yr</t>
        </is>
      </c>
      <c r="D19" s="1" t="inlineStr"/>
      <c r="E19" s="1" t="inlineStr"/>
    </row>
    <row r="20">
      <c r="A20" s="1" t="inlineStr">
        <is>
          <t>CAPEX 2040</t>
        </is>
      </c>
      <c r="B20" s="3" t="n">
        <v>1050</v>
      </c>
      <c r="C20" s="1" t="inlineStr">
        <is>
          <t>$/t-C2H4/yr</t>
        </is>
      </c>
      <c r="D20" s="1" t="inlineStr"/>
      <c r="E20" s="1" t="inlineStr"/>
    </row>
    <row r="21">
      <c r="A21" s="1" t="inlineStr">
        <is>
          <t>CAPEX 2050</t>
        </is>
      </c>
      <c r="B21" s="3" t="n">
        <v>900</v>
      </c>
      <c r="C21" s="1" t="inlineStr">
        <is>
          <t>$/t-C2H4/yr</t>
        </is>
      </c>
      <c r="D21" s="1" t="inlineStr"/>
      <c r="E21" s="1" t="inlineStr"/>
    </row>
    <row r="22">
      <c r="A22" s="1" t="inlineStr">
        <is>
          <t>OPEX (% of CAPEX)</t>
        </is>
      </c>
      <c r="B22" s="3" t="n">
        <v>4</v>
      </c>
      <c r="C22" s="1" t="inlineStr">
        <is>
          <t>%</t>
        </is>
      </c>
      <c r="D22" s="1" t="inlineStr"/>
      <c r="E22" s="1" t="inlineStr"/>
    </row>
    <row r="23">
      <c r="A23" s="1" t="inlineStr">
        <is>
          <t>Lifetime</t>
        </is>
      </c>
      <c r="B23" s="3" t="n">
        <v>25</v>
      </c>
      <c r="C23" s="1" t="inlineStr">
        <is>
          <t>years</t>
        </is>
      </c>
      <c r="D23" s="1" t="inlineStr"/>
      <c r="E23" s="1" t="inlineStr"/>
    </row>
    <row r="24">
      <c r="A24" s="1" t="inlineStr"/>
      <c r="B24" s="1" t="inlineStr"/>
      <c r="C24" s="1" t="inlineStr"/>
      <c r="D24" s="1" t="inlineStr"/>
      <c r="E24" s="1" t="inlineStr"/>
    </row>
    <row r="25">
      <c r="A25" s="2">
        <f>== ELECTROLYZER (for LCOH) ===</f>
        <v/>
      </c>
      <c r="B25" s="1" t="inlineStr"/>
      <c r="C25" s="1" t="inlineStr"/>
      <c r="D25" s="1" t="inlineStr"/>
      <c r="E25" s="1" t="inlineStr"/>
    </row>
    <row r="26">
      <c r="A26" s="1" t="inlineStr">
        <is>
          <t>Efficiency (HHV)</t>
        </is>
      </c>
      <c r="B26" s="3" t="n">
        <v>70</v>
      </c>
      <c r="C26" s="1" t="inlineStr">
        <is>
          <t>%</t>
        </is>
      </c>
      <c r="D26" s="1" t="inlineStr">
        <is>
          <t>PEM/Alkaline typical</t>
        </is>
      </c>
      <c r="E26" s="1" t="inlineStr"/>
    </row>
    <row r="27">
      <c r="A27" s="1" t="inlineStr">
        <is>
          <t>CAPEX 2025</t>
        </is>
      </c>
      <c r="B27" s="3" t="n">
        <v>1200</v>
      </c>
      <c r="C27" s="1" t="inlineStr">
        <is>
          <t>$/kW</t>
        </is>
      </c>
      <c r="D27" s="1" t="inlineStr"/>
      <c r="E27" s="1" t="inlineStr"/>
    </row>
    <row r="28">
      <c r="A28" s="1" t="inlineStr">
        <is>
          <t>CAPEX 2030</t>
        </is>
      </c>
      <c r="B28" s="3" t="n">
        <v>800</v>
      </c>
      <c r="C28" s="1" t="inlineStr">
        <is>
          <t>$/kW</t>
        </is>
      </c>
      <c r="D28" s="1" t="inlineStr"/>
      <c r="E28" s="1" t="inlineStr"/>
    </row>
    <row r="29">
      <c r="A29" s="1" t="inlineStr">
        <is>
          <t>CAPEX 2040</t>
        </is>
      </c>
      <c r="B29" s="3" t="n">
        <v>500</v>
      </c>
      <c r="C29" s="1" t="inlineStr">
        <is>
          <t>$/kW</t>
        </is>
      </c>
      <c r="D29" s="1" t="inlineStr"/>
      <c r="E29" s="1" t="inlineStr"/>
    </row>
    <row r="30">
      <c r="A30" s="1" t="inlineStr">
        <is>
          <t>CAPEX 2050</t>
        </is>
      </c>
      <c r="B30" s="3" t="n">
        <v>300</v>
      </c>
      <c r="C30" s="1" t="inlineStr">
        <is>
          <t>$/kW</t>
        </is>
      </c>
      <c r="D30" s="1" t="inlineStr"/>
      <c r="E30" s="1" t="inlineStr"/>
    </row>
    <row r="31">
      <c r="A31" s="1" t="inlineStr">
        <is>
          <t>OPEX (% of CAPEX)</t>
        </is>
      </c>
      <c r="B31" s="3" t="n">
        <v>2</v>
      </c>
      <c r="C31" s="1" t="inlineStr">
        <is>
          <t>%</t>
        </is>
      </c>
      <c r="D31" s="1" t="inlineStr"/>
      <c r="E31" s="1" t="inlineStr"/>
    </row>
    <row r="32">
      <c r="A32" s="1" t="inlineStr">
        <is>
          <t>Lifetime</t>
        </is>
      </c>
      <c r="B32" s="3" t="n">
        <v>20</v>
      </c>
      <c r="C32" s="1" t="inlineStr">
        <is>
          <t>years</t>
        </is>
      </c>
      <c r="D32" s="1" t="inlineStr"/>
      <c r="E32" s="1" t="inlineStr"/>
    </row>
    <row r="33">
      <c r="A33" s="1" t="inlineStr">
        <is>
          <t>Capacity Factor</t>
        </is>
      </c>
      <c r="B33" s="3" t="n">
        <v>90</v>
      </c>
      <c r="C33" s="1" t="inlineStr">
        <is>
          <t>%</t>
        </is>
      </c>
      <c r="D33" s="1" t="inlineStr"/>
      <c r="E33" s="1" t="inlineStr"/>
    </row>
    <row r="34">
      <c r="A34" s="1" t="inlineStr">
        <is>
          <t>Stack Replacement</t>
        </is>
      </c>
      <c r="B34" s="3" t="n">
        <v>10</v>
      </c>
      <c r="C34" s="1" t="inlineStr">
        <is>
          <t>years</t>
        </is>
      </c>
      <c r="D34" s="1" t="inlineStr">
        <is>
          <t>Interval</t>
        </is>
      </c>
      <c r="E34" s="1" t="inlineStr"/>
    </row>
    <row r="35">
      <c r="A35" s="1" t="inlineStr">
        <is>
          <t>Stack Cost (% of CAPEX)</t>
        </is>
      </c>
      <c r="B35" s="3" t="n">
        <v>40</v>
      </c>
      <c r="C35" s="1" t="inlineStr">
        <is>
          <t>%</t>
        </is>
      </c>
      <c r="D35" s="1" t="inlineStr"/>
      <c r="E35" s="1" t="inlineStr"/>
    </row>
    <row r="36">
      <c r="A36" s="1" t="inlineStr">
        <is>
          <t>H2 HHV</t>
        </is>
      </c>
      <c r="B36" s="3" t="n">
        <v>39.4</v>
      </c>
      <c r="C36" s="1" t="inlineStr">
        <is>
          <t>kWh/kg</t>
        </is>
      </c>
      <c r="D36" s="1" t="inlineStr">
        <is>
          <t>Higher Heating Value</t>
        </is>
      </c>
      <c r="E36" s="1" t="inlineStr"/>
    </row>
    <row r="37">
      <c r="A37" s="1" t="inlineStr"/>
      <c r="B37" s="1" t="inlineStr"/>
      <c r="C37" s="1" t="inlineStr"/>
      <c r="D37" s="1" t="inlineStr"/>
      <c r="E37" s="1" t="inlineStr"/>
    </row>
    <row r="38">
      <c r="A38" s="2">
        <f>== STREAMLIT BASELINE VALUES (2050) ===</f>
        <v/>
      </c>
      <c r="B38" s="1" t="inlineStr"/>
      <c r="C38" s="1" t="inlineStr"/>
      <c r="D38" s="1" t="inlineStr"/>
      <c r="E38" s="1" t="inlineStr"/>
    </row>
    <row r="39">
      <c r="A39" s="1" t="inlineStr">
        <is>
          <t>Shaheen H2 Demand</t>
        </is>
      </c>
      <c r="B39" s="3" t="n">
        <v>7703.5</v>
      </c>
      <c r="C39" s="1" t="inlineStr">
        <is>
          <t>kt/year</t>
        </is>
      </c>
      <c r="D39" s="1" t="inlineStr"/>
      <c r="E39" s="1" t="inlineStr"/>
    </row>
    <row r="40">
      <c r="A40" s="1" t="inlineStr">
        <is>
          <t>Shaheen Elec Demand</t>
        </is>
      </c>
      <c r="B40" s="3" t="n">
        <v>164.5</v>
      </c>
      <c r="C40" s="1" t="inlineStr">
        <is>
          <t>TWh/year</t>
        </is>
      </c>
      <c r="D40" s="1" t="inlineStr"/>
      <c r="E4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Year</t>
        </is>
      </c>
      <c r="B1" s="4" t="inlineStr">
        <is>
          <t>H2 Price ($/kg)</t>
        </is>
      </c>
      <c r="C1" s="4" t="inlineStr">
        <is>
          <t>RE Price ($/MWh)</t>
        </is>
      </c>
      <c r="D1" s="4" t="inlineStr">
        <is>
          <t>Grid Price ($/MWh)</t>
        </is>
      </c>
      <c r="E1" s="4" t="inlineStr">
        <is>
          <t>H2-Elec Spread</t>
        </is>
      </c>
    </row>
    <row r="2">
      <c r="A2" s="1" t="n">
        <v>2025</v>
      </c>
      <c r="B2" s="1" t="n">
        <v>6.73</v>
      </c>
      <c r="C2" s="1" t="n">
        <v>129.29</v>
      </c>
      <c r="D2" s="1" t="n">
        <v>100</v>
      </c>
      <c r="E2" s="1">
        <f>B2-(C2*56.3/1000)</f>
        <v/>
      </c>
    </row>
    <row r="3">
      <c r="A3" s="1" t="n">
        <v>2026</v>
      </c>
      <c r="B3" s="1" t="n">
        <v>6.56</v>
      </c>
      <c r="C3" s="1" t="n">
        <v>134.46</v>
      </c>
      <c r="D3" s="1" t="n">
        <v>103.66</v>
      </c>
      <c r="E3" s="1">
        <f>B3-(C3*56.3/1000)</f>
        <v/>
      </c>
    </row>
    <row r="4">
      <c r="A4" s="1" t="n">
        <v>2027</v>
      </c>
      <c r="B4" s="1" t="n">
        <v>6.39</v>
      </c>
      <c r="C4" s="1" t="n">
        <v>139.84</v>
      </c>
      <c r="D4" s="1" t="n">
        <v>107.31</v>
      </c>
      <c r="E4" s="1">
        <f>B4-(C4*56.3/1000)</f>
        <v/>
      </c>
    </row>
    <row r="5">
      <c r="A5" s="1" t="n">
        <v>2028</v>
      </c>
      <c r="B5" s="1" t="n">
        <v>6.22</v>
      </c>
      <c r="C5" s="1" t="n">
        <v>145.43</v>
      </c>
      <c r="D5" s="1" t="n">
        <v>110.97</v>
      </c>
      <c r="E5" s="1">
        <f>B5-(C5*56.3/1000)</f>
        <v/>
      </c>
    </row>
    <row r="6">
      <c r="A6" s="1" t="n">
        <v>2029</v>
      </c>
      <c r="B6" s="1" t="n">
        <v>6.05</v>
      </c>
      <c r="C6" s="1" t="n">
        <v>151.25</v>
      </c>
      <c r="D6" s="1" t="n">
        <v>114.62</v>
      </c>
      <c r="E6" s="1">
        <f>B6-(C6*56.3/1000)</f>
        <v/>
      </c>
    </row>
    <row r="7">
      <c r="A7" s="1" t="n">
        <v>2030</v>
      </c>
      <c r="B7" s="1" t="n">
        <v>5.88</v>
      </c>
      <c r="C7" s="1" t="n">
        <v>157.3</v>
      </c>
      <c r="D7" s="1" t="n">
        <v>118.28</v>
      </c>
      <c r="E7" s="1">
        <f>B7-(C7*56.3/1000)</f>
        <v/>
      </c>
    </row>
    <row r="8">
      <c r="A8" s="1" t="n">
        <v>2031</v>
      </c>
      <c r="B8" s="1" t="n">
        <v>5.71</v>
      </c>
      <c r="C8" s="1" t="n">
        <v>163.59</v>
      </c>
      <c r="D8" s="1" t="n">
        <v>121.93</v>
      </c>
      <c r="E8" s="1">
        <f>B8-(C8*56.3/1000)</f>
        <v/>
      </c>
    </row>
    <row r="9">
      <c r="A9" s="1" t="n">
        <v>2032</v>
      </c>
      <c r="B9" s="1" t="n">
        <v>5.53</v>
      </c>
      <c r="C9" s="1" t="n">
        <v>170.13</v>
      </c>
      <c r="D9" s="1" t="n">
        <v>125.59</v>
      </c>
      <c r="E9" s="1">
        <f>B9-(C9*56.3/1000)</f>
        <v/>
      </c>
    </row>
    <row r="10">
      <c r="A10" s="1" t="n">
        <v>2033</v>
      </c>
      <c r="B10" s="1" t="n">
        <v>5.36</v>
      </c>
      <c r="C10" s="1" t="n">
        <v>176.94</v>
      </c>
      <c r="D10" s="1" t="n">
        <v>129.24</v>
      </c>
      <c r="E10" s="1">
        <f>B10-(C10*56.3/1000)</f>
        <v/>
      </c>
    </row>
    <row r="11">
      <c r="A11" s="1" t="n">
        <v>2034</v>
      </c>
      <c r="B11" s="1" t="n">
        <v>5.19</v>
      </c>
      <c r="C11" s="1" t="n">
        <v>184.02</v>
      </c>
      <c r="D11" s="1" t="n">
        <v>132.9</v>
      </c>
      <c r="E11" s="1">
        <f>B11-(C11*56.3/1000)</f>
        <v/>
      </c>
    </row>
    <row r="12">
      <c r="A12" s="1" t="n">
        <v>2035</v>
      </c>
      <c r="B12" s="1" t="n">
        <v>5.02</v>
      </c>
      <c r="C12" s="1" t="n">
        <v>191.38</v>
      </c>
      <c r="D12" s="1" t="n">
        <v>136.55</v>
      </c>
      <c r="E12" s="1">
        <f>B12-(C12*56.3/1000)</f>
        <v/>
      </c>
    </row>
    <row r="13">
      <c r="A13" s="1" t="n">
        <v>2036</v>
      </c>
      <c r="B13" s="1" t="n">
        <v>4.84</v>
      </c>
      <c r="C13" s="1" t="n">
        <v>191.38</v>
      </c>
      <c r="D13" s="1" t="n">
        <v>140.21</v>
      </c>
      <c r="E13" s="1">
        <f>B13-(C13*56.3/1000)</f>
        <v/>
      </c>
    </row>
    <row r="14">
      <c r="A14" s="1" t="n">
        <v>2037</v>
      </c>
      <c r="B14" s="1" t="n">
        <v>4.67</v>
      </c>
      <c r="C14" s="1" t="n">
        <v>191.38</v>
      </c>
      <c r="D14" s="1" t="n">
        <v>143.86</v>
      </c>
      <c r="E14" s="1">
        <f>B14-(C14*56.3/1000)</f>
        <v/>
      </c>
    </row>
    <row r="15">
      <c r="A15" s="1" t="n">
        <v>2038</v>
      </c>
      <c r="B15" s="1" t="n">
        <v>4.5</v>
      </c>
      <c r="C15" s="1" t="n">
        <v>191.38</v>
      </c>
      <c r="D15" s="1" t="n">
        <v>147.52</v>
      </c>
      <c r="E15" s="1">
        <f>B15-(C15*56.3/1000)</f>
        <v/>
      </c>
    </row>
    <row r="16">
      <c r="A16" s="1" t="n">
        <v>2039</v>
      </c>
      <c r="B16" s="1" t="n">
        <v>4.33</v>
      </c>
      <c r="C16" s="1" t="n">
        <v>191.38</v>
      </c>
      <c r="D16" s="1" t="n">
        <v>151.17</v>
      </c>
      <c r="E16" s="1">
        <f>B16-(C16*56.3/1000)</f>
        <v/>
      </c>
    </row>
    <row r="17">
      <c r="A17" s="1" t="n">
        <v>2040</v>
      </c>
      <c r="B17" s="1" t="n">
        <v>4.16</v>
      </c>
      <c r="C17" s="1" t="n">
        <v>191.38</v>
      </c>
      <c r="D17" s="1" t="n">
        <v>154.83</v>
      </c>
      <c r="E17" s="1">
        <f>B17-(C17*56.3/1000)</f>
        <v/>
      </c>
    </row>
    <row r="18">
      <c r="A18" s="1" t="n">
        <v>2041</v>
      </c>
      <c r="B18" s="1" t="n">
        <v>3.99</v>
      </c>
      <c r="C18" s="1" t="n">
        <v>191.38</v>
      </c>
      <c r="D18" s="1" t="n">
        <v>158.48</v>
      </c>
      <c r="E18" s="1">
        <f>B18-(C18*56.3/1000)</f>
        <v/>
      </c>
    </row>
    <row r="19">
      <c r="A19" s="1" t="n">
        <v>2042</v>
      </c>
      <c r="B19" s="1" t="n">
        <v>3.82</v>
      </c>
      <c r="C19" s="1" t="n">
        <v>191.38</v>
      </c>
      <c r="D19" s="1" t="n">
        <v>162.14</v>
      </c>
      <c r="E19" s="1">
        <f>B19-(C19*56.3/1000)</f>
        <v/>
      </c>
    </row>
    <row r="20">
      <c r="A20" s="1" t="n">
        <v>2043</v>
      </c>
      <c r="B20" s="1" t="n">
        <v>3.65</v>
      </c>
      <c r="C20" s="1" t="n">
        <v>191.38</v>
      </c>
      <c r="D20" s="1" t="n">
        <v>165.79</v>
      </c>
      <c r="E20" s="1">
        <f>B20-(C20*56.3/1000)</f>
        <v/>
      </c>
    </row>
    <row r="21">
      <c r="A21" s="1" t="n">
        <v>2044</v>
      </c>
      <c r="B21" s="1" t="n">
        <v>3.48</v>
      </c>
      <c r="C21" s="1" t="n">
        <v>191.38</v>
      </c>
      <c r="D21" s="1" t="n">
        <v>169.45</v>
      </c>
      <c r="E21" s="1">
        <f>B21-(C21*56.3/1000)</f>
        <v/>
      </c>
    </row>
    <row r="22">
      <c r="A22" s="1" t="n">
        <v>2045</v>
      </c>
      <c r="B22" s="1" t="n">
        <v>3.31</v>
      </c>
      <c r="C22" s="1" t="n">
        <v>191.38</v>
      </c>
      <c r="D22" s="1" t="n">
        <v>173.1</v>
      </c>
      <c r="E22" s="1">
        <f>B22-(C22*56.3/1000)</f>
        <v/>
      </c>
    </row>
    <row r="23">
      <c r="A23" s="1" t="n">
        <v>2046</v>
      </c>
      <c r="B23" s="1" t="n">
        <v>3.17</v>
      </c>
      <c r="C23" s="1" t="n">
        <v>191.38</v>
      </c>
      <c r="D23" s="1" t="n">
        <v>176.76</v>
      </c>
      <c r="E23" s="1">
        <f>B23-(C23*56.3/1000)</f>
        <v/>
      </c>
    </row>
    <row r="24">
      <c r="A24" s="1" t="n">
        <v>2047</v>
      </c>
      <c r="B24" s="1" t="n">
        <v>3.04</v>
      </c>
      <c r="C24" s="1" t="n">
        <v>191.38</v>
      </c>
      <c r="D24" s="1" t="n">
        <v>180.41</v>
      </c>
      <c r="E24" s="1">
        <f>B24-(C24*56.3/1000)</f>
        <v/>
      </c>
    </row>
    <row r="25">
      <c r="A25" s="1" t="n">
        <v>2048</v>
      </c>
      <c r="B25" s="1" t="n">
        <v>2.9</v>
      </c>
      <c r="C25" s="1" t="n">
        <v>191.38</v>
      </c>
      <c r="D25" s="1" t="n">
        <v>184.07</v>
      </c>
      <c r="E25" s="1">
        <f>B25-(C25*56.3/1000)</f>
        <v/>
      </c>
    </row>
    <row r="26">
      <c r="A26" s="1" t="n">
        <v>2049</v>
      </c>
      <c r="B26" s="1" t="n">
        <v>2.76</v>
      </c>
      <c r="C26" s="1" t="n">
        <v>191.38</v>
      </c>
      <c r="D26" s="1" t="n">
        <v>187.72</v>
      </c>
      <c r="E26" s="1">
        <f>B26-(C26*56.3/1000)</f>
        <v/>
      </c>
    </row>
    <row r="27">
      <c r="A27" s="1" t="n">
        <v>2050</v>
      </c>
      <c r="B27" s="1" t="n">
        <v>2.63</v>
      </c>
      <c r="C27" s="1" t="n">
        <v>191.38</v>
      </c>
      <c r="D27" s="1" t="n">
        <v>191.38</v>
      </c>
      <c r="E27" s="1">
        <f>B27-(C27*56.3/1000)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Levelized Cost of Hydrogen (LCOH) Calculation</t>
        </is>
      </c>
      <c r="B1" s="1" t="inlineStr"/>
      <c r="C1" s="1" t="inlineStr"/>
      <c r="D1" s="1" t="inlineStr"/>
      <c r="E1" s="1" t="inlineStr"/>
    </row>
    <row r="2">
      <c r="A2" s="1" t="inlineStr"/>
      <c r="B2" s="1" t="inlineStr"/>
      <c r="C2" s="1" t="inlineStr"/>
      <c r="D2" s="1" t="inlineStr"/>
      <c r="E2" s="1" t="inlineStr"/>
    </row>
    <row r="3">
      <c r="A3" s="2">
        <f>== LCOH FORMULA ===</f>
        <v/>
      </c>
      <c r="B3" s="1" t="inlineStr"/>
      <c r="C3" s="1" t="inlineStr"/>
      <c r="D3" s="1" t="inlineStr"/>
      <c r="E3" s="1" t="inlineStr"/>
    </row>
    <row r="4">
      <c r="A4" s="1" t="inlineStr">
        <is>
          <t>LCOH = (CAPEX_ann + OPEX + Elec_Cost) / H2_produced</t>
        </is>
      </c>
      <c r="B4" s="1" t="inlineStr"/>
      <c r="C4" s="1" t="inlineStr"/>
      <c r="D4" s="1" t="inlineStr"/>
      <c r="E4" s="1" t="inlineStr"/>
    </row>
    <row r="5">
      <c r="A5" s="1" t="inlineStr"/>
      <c r="B5" s="1" t="inlineStr"/>
      <c r="C5" s="1" t="inlineStr"/>
      <c r="D5" s="1" t="inlineStr"/>
      <c r="E5" s="1" t="inlineStr"/>
    </row>
    <row r="6">
      <c r="A6" s="1" t="inlineStr">
        <is>
          <t>Where:</t>
        </is>
      </c>
      <c r="B6" s="1" t="inlineStr"/>
      <c r="C6" s="1" t="inlineStr"/>
      <c r="D6" s="1" t="inlineStr"/>
      <c r="E6" s="1" t="inlineStr"/>
    </row>
    <row r="7">
      <c r="A7" s="1" t="inlineStr">
        <is>
          <t xml:space="preserve">  CAPEX_ann = CAPEX / Lifetime</t>
        </is>
      </c>
      <c r="B7" s="1" t="inlineStr"/>
      <c r="C7" s="1" t="inlineStr"/>
      <c r="D7" s="1" t="inlineStr"/>
      <c r="E7" s="1" t="inlineStr"/>
    </row>
    <row r="8">
      <c r="A8" s="1" t="inlineStr">
        <is>
          <t xml:space="preserve">  OPEX = CAPEX × OPEX%</t>
        </is>
      </c>
      <c r="B8" s="1" t="inlineStr"/>
      <c r="C8" s="1" t="inlineStr"/>
      <c r="D8" s="1" t="inlineStr"/>
      <c r="E8" s="1" t="inlineStr"/>
    </row>
    <row r="9">
      <c r="A9" s="1" t="inlineStr">
        <is>
          <t xml:space="preserve">  Elec_Cost = Elec_price × Elec_consumption</t>
        </is>
      </c>
      <c r="B9" s="1" t="inlineStr"/>
      <c r="C9" s="1" t="inlineStr"/>
      <c r="D9" s="1" t="inlineStr"/>
      <c r="E9" s="1" t="inlineStr"/>
    </row>
    <row r="10">
      <c r="A10" s="1" t="inlineStr">
        <is>
          <t xml:space="preserve">  Elec_consumption = H2_HHV / Efficiency</t>
        </is>
      </c>
      <c r="B10" s="1" t="inlineStr"/>
      <c r="C10" s="1" t="inlineStr"/>
      <c r="D10" s="1" t="inlineStr"/>
      <c r="E10" s="1" t="inlineStr"/>
    </row>
    <row r="11">
      <c r="A11" s="1" t="inlineStr"/>
      <c r="B11" s="1" t="inlineStr"/>
      <c r="C11" s="1" t="inlineStr"/>
      <c r="D11" s="1" t="inlineStr"/>
      <c r="E11" s="1" t="inlineStr"/>
    </row>
    <row r="12">
      <c r="A12" s="2">
        <f>== LCOH BY YEAR ===</f>
        <v/>
      </c>
      <c r="B12" s="1" t="inlineStr"/>
      <c r="C12" s="1" t="inlineStr"/>
      <c r="D12" s="1" t="inlineStr"/>
      <c r="E12" s="1" t="inlineStr"/>
    </row>
    <row r="13">
      <c r="A13" s="4" t="inlineStr">
        <is>
          <t>Year</t>
        </is>
      </c>
      <c r="B13" s="4" t="inlineStr">
        <is>
          <t>Electrolyzer CAPEX ($/kW)</t>
        </is>
      </c>
      <c r="C13" s="4" t="inlineStr">
        <is>
          <t>Elec Price ($/MWh)</t>
        </is>
      </c>
      <c r="D13" s="4" t="inlineStr">
        <is>
          <t>Elec (kWh/kg H2)</t>
        </is>
      </c>
      <c r="E13" s="4" t="inlineStr">
        <is>
          <t>LCOH ($/kg)</t>
        </is>
      </c>
    </row>
    <row r="14">
      <c r="A14" s="1" t="n">
        <v>2025</v>
      </c>
      <c r="B14" s="1" t="n">
        <v>1200</v>
      </c>
      <c r="C14" s="1">
        <f>'2_Prices'!C2</f>
        <v/>
      </c>
      <c r="D14" s="1" t="n">
        <v>56.3</v>
      </c>
      <c r="E14" s="1">
        <f>B14*0.000356*(1+'1_Parameters'!B31/100) + C14*D14/1000</f>
        <v/>
      </c>
    </row>
    <row r="15">
      <c r="A15" s="1" t="n">
        <v>2026</v>
      </c>
      <c r="B15" s="1" t="n">
        <v>1120</v>
      </c>
      <c r="C15" s="1">
        <f>'2_Prices'!C3</f>
        <v/>
      </c>
      <c r="D15" s="1" t="n">
        <v>56.3</v>
      </c>
      <c r="E15" s="1">
        <f>B15*0.000356*(1+'1_Parameters'!B31/100) + C15*D15/1000</f>
        <v/>
      </c>
    </row>
    <row r="16">
      <c r="A16" s="1" t="n">
        <v>2027</v>
      </c>
      <c r="B16" s="1" t="n">
        <v>1040</v>
      </c>
      <c r="C16" s="1">
        <f>'2_Prices'!C4</f>
        <v/>
      </c>
      <c r="D16" s="1" t="n">
        <v>56.3</v>
      </c>
      <c r="E16" s="1">
        <f>B16*0.000356*(1+'1_Parameters'!B31/100) + C16*D16/1000</f>
        <v/>
      </c>
    </row>
    <row r="17">
      <c r="A17" s="1" t="n">
        <v>2028</v>
      </c>
      <c r="B17" s="1" t="n">
        <v>960</v>
      </c>
      <c r="C17" s="1">
        <f>'2_Prices'!C5</f>
        <v/>
      </c>
      <c r="D17" s="1" t="n">
        <v>56.3</v>
      </c>
      <c r="E17" s="1">
        <f>B17*0.000356*(1+'1_Parameters'!B31/100) + C17*D17/1000</f>
        <v/>
      </c>
    </row>
    <row r="18">
      <c r="A18" s="1" t="n">
        <v>2029</v>
      </c>
      <c r="B18" s="1" t="n">
        <v>880</v>
      </c>
      <c r="C18" s="1">
        <f>'2_Prices'!C6</f>
        <v/>
      </c>
      <c r="D18" s="1" t="n">
        <v>56.3</v>
      </c>
      <c r="E18" s="1">
        <f>B18*0.000356*(1+'1_Parameters'!B31/100) + C18*D18/1000</f>
        <v/>
      </c>
    </row>
    <row r="19">
      <c r="A19" s="1" t="n">
        <v>2030</v>
      </c>
      <c r="B19" s="1" t="n">
        <v>800</v>
      </c>
      <c r="C19" s="1">
        <f>'2_Prices'!C7</f>
        <v/>
      </c>
      <c r="D19" s="1" t="n">
        <v>56.3</v>
      </c>
      <c r="E19" s="1">
        <f>B19*0.000356*(1+'1_Parameters'!B31/100) + C19*D19/1000</f>
        <v/>
      </c>
    </row>
    <row r="20">
      <c r="A20" s="1" t="n">
        <v>2031</v>
      </c>
      <c r="B20" s="1" t="n">
        <v>770</v>
      </c>
      <c r="C20" s="1">
        <f>'2_Prices'!C8</f>
        <v/>
      </c>
      <c r="D20" s="1" t="n">
        <v>56.3</v>
      </c>
      <c r="E20" s="1">
        <f>B20*0.000356*(1+'1_Parameters'!B31/100) + C20*D20/1000</f>
        <v/>
      </c>
    </row>
    <row r="21">
      <c r="A21" s="1" t="n">
        <v>2032</v>
      </c>
      <c r="B21" s="1" t="n">
        <v>740</v>
      </c>
      <c r="C21" s="1">
        <f>'2_Prices'!C9</f>
        <v/>
      </c>
      <c r="D21" s="1" t="n">
        <v>56.3</v>
      </c>
      <c r="E21" s="1">
        <f>B21*0.000356*(1+'1_Parameters'!B31/100) + C21*D21/1000</f>
        <v/>
      </c>
    </row>
    <row r="22">
      <c r="A22" s="1" t="n">
        <v>2033</v>
      </c>
      <c r="B22" s="1" t="n">
        <v>710</v>
      </c>
      <c r="C22" s="1">
        <f>'2_Prices'!C10</f>
        <v/>
      </c>
      <c r="D22" s="1" t="n">
        <v>56.3</v>
      </c>
      <c r="E22" s="1">
        <f>B22*0.000356*(1+'1_Parameters'!B31/100) + C22*D22/1000</f>
        <v/>
      </c>
    </row>
    <row r="23">
      <c r="A23" s="1" t="n">
        <v>2034</v>
      </c>
      <c r="B23" s="1" t="n">
        <v>680</v>
      </c>
      <c r="C23" s="1">
        <f>'2_Prices'!C11</f>
        <v/>
      </c>
      <c r="D23" s="1" t="n">
        <v>56.3</v>
      </c>
      <c r="E23" s="1">
        <f>B23*0.000356*(1+'1_Parameters'!B31/100) + C23*D23/1000</f>
        <v/>
      </c>
    </row>
    <row r="24">
      <c r="A24" s="1" t="n">
        <v>2035</v>
      </c>
      <c r="B24" s="1" t="n">
        <v>650</v>
      </c>
      <c r="C24" s="1">
        <f>'2_Prices'!C12</f>
        <v/>
      </c>
      <c r="D24" s="1" t="n">
        <v>56.3</v>
      </c>
      <c r="E24" s="1">
        <f>B24*0.000356*(1+'1_Parameters'!B31/100) + C24*D24/1000</f>
        <v/>
      </c>
    </row>
    <row r="25">
      <c r="A25" s="1" t="n">
        <v>2036</v>
      </c>
      <c r="B25" s="1" t="n">
        <v>620</v>
      </c>
      <c r="C25" s="1">
        <f>'2_Prices'!C13</f>
        <v/>
      </c>
      <c r="D25" s="1" t="n">
        <v>56.3</v>
      </c>
      <c r="E25" s="1">
        <f>B25*0.000356*(1+'1_Parameters'!B31/100) + C25*D25/1000</f>
        <v/>
      </c>
    </row>
    <row r="26">
      <c r="A26" s="1" t="n">
        <v>2037</v>
      </c>
      <c r="B26" s="1" t="n">
        <v>590</v>
      </c>
      <c r="C26" s="1">
        <f>'2_Prices'!C14</f>
        <v/>
      </c>
      <c r="D26" s="1" t="n">
        <v>56.3</v>
      </c>
      <c r="E26" s="1">
        <f>B26*0.000356*(1+'1_Parameters'!B31/100) + C26*D26/1000</f>
        <v/>
      </c>
    </row>
    <row r="27">
      <c r="A27" s="1" t="n">
        <v>2038</v>
      </c>
      <c r="B27" s="1" t="n">
        <v>560</v>
      </c>
      <c r="C27" s="1">
        <f>'2_Prices'!C15</f>
        <v/>
      </c>
      <c r="D27" s="1" t="n">
        <v>56.3</v>
      </c>
      <c r="E27" s="1">
        <f>B27*0.000356*(1+'1_Parameters'!B31/100) + C27*D27/1000</f>
        <v/>
      </c>
    </row>
    <row r="28">
      <c r="A28" s="1" t="n">
        <v>2039</v>
      </c>
      <c r="B28" s="1" t="n">
        <v>530</v>
      </c>
      <c r="C28" s="1">
        <f>'2_Prices'!C16</f>
        <v/>
      </c>
      <c r="D28" s="1" t="n">
        <v>56.3</v>
      </c>
      <c r="E28" s="1">
        <f>B28*0.000356*(1+'1_Parameters'!B31/100) + C28*D28/1000</f>
        <v/>
      </c>
    </row>
    <row r="29">
      <c r="A29" s="1" t="n">
        <v>2040</v>
      </c>
      <c r="B29" s="1" t="n">
        <v>500</v>
      </c>
      <c r="C29" s="1">
        <f>'2_Prices'!C17</f>
        <v/>
      </c>
      <c r="D29" s="1" t="n">
        <v>56.3</v>
      </c>
      <c r="E29" s="1">
        <f>B29*0.000356*(1+'1_Parameters'!B31/100) + C29*D29/1000</f>
        <v/>
      </c>
    </row>
    <row r="30">
      <c r="A30" s="1" t="n">
        <v>2041</v>
      </c>
      <c r="B30" s="1" t="n">
        <v>480</v>
      </c>
      <c r="C30" s="1">
        <f>'2_Prices'!C18</f>
        <v/>
      </c>
      <c r="D30" s="1" t="n">
        <v>56.3</v>
      </c>
      <c r="E30" s="1">
        <f>B30*0.000356*(1+'1_Parameters'!B31/100) + C30*D30/1000</f>
        <v/>
      </c>
    </row>
    <row r="31">
      <c r="A31" s="1" t="n">
        <v>2042</v>
      </c>
      <c r="B31" s="1" t="n">
        <v>460</v>
      </c>
      <c r="C31" s="1">
        <f>'2_Prices'!C19</f>
        <v/>
      </c>
      <c r="D31" s="1" t="n">
        <v>56.3</v>
      </c>
      <c r="E31" s="1">
        <f>B31*0.000356*(1+'1_Parameters'!B31/100) + C31*D31/1000</f>
        <v/>
      </c>
    </row>
    <row r="32">
      <c r="A32" s="1" t="n">
        <v>2043</v>
      </c>
      <c r="B32" s="1" t="n">
        <v>440</v>
      </c>
      <c r="C32" s="1">
        <f>'2_Prices'!C20</f>
        <v/>
      </c>
      <c r="D32" s="1" t="n">
        <v>56.3</v>
      </c>
      <c r="E32" s="1">
        <f>B32*0.000356*(1+'1_Parameters'!B31/100) + C32*D32/1000</f>
        <v/>
      </c>
    </row>
    <row r="33">
      <c r="A33" s="1" t="n">
        <v>2044</v>
      </c>
      <c r="B33" s="1" t="n">
        <v>420</v>
      </c>
      <c r="C33" s="1">
        <f>'2_Prices'!C21</f>
        <v/>
      </c>
      <c r="D33" s="1" t="n">
        <v>56.3</v>
      </c>
      <c r="E33" s="1">
        <f>B33*0.000356*(1+'1_Parameters'!B31/100) + C33*D33/1000</f>
        <v/>
      </c>
    </row>
    <row r="34">
      <c r="A34" s="1" t="n">
        <v>2045</v>
      </c>
      <c r="B34" s="1" t="n">
        <v>400</v>
      </c>
      <c r="C34" s="1">
        <f>'2_Prices'!C22</f>
        <v/>
      </c>
      <c r="D34" s="1" t="n">
        <v>56.3</v>
      </c>
      <c r="E34" s="1">
        <f>B34*0.000356*(1+'1_Parameters'!B31/100) + C34*D34/1000</f>
        <v/>
      </c>
    </row>
    <row r="35">
      <c r="A35" s="1" t="n">
        <v>2046</v>
      </c>
      <c r="B35" s="1" t="n">
        <v>380</v>
      </c>
      <c r="C35" s="1">
        <f>'2_Prices'!C23</f>
        <v/>
      </c>
      <c r="D35" s="1" t="n">
        <v>56.3</v>
      </c>
      <c r="E35" s="1">
        <f>B35*0.000356*(1+'1_Parameters'!B31/100) + C35*D35/1000</f>
        <v/>
      </c>
    </row>
    <row r="36">
      <c r="A36" s="1" t="n">
        <v>2047</v>
      </c>
      <c r="B36" s="1" t="n">
        <v>360</v>
      </c>
      <c r="C36" s="1">
        <f>'2_Prices'!C24</f>
        <v/>
      </c>
      <c r="D36" s="1" t="n">
        <v>56.3</v>
      </c>
      <c r="E36" s="1">
        <f>B36*0.000356*(1+'1_Parameters'!B31/100) + C36*D36/1000</f>
        <v/>
      </c>
    </row>
    <row r="37">
      <c r="A37" s="1" t="n">
        <v>2048</v>
      </c>
      <c r="B37" s="1" t="n">
        <v>340</v>
      </c>
      <c r="C37" s="1">
        <f>'2_Prices'!C25</f>
        <v/>
      </c>
      <c r="D37" s="1" t="n">
        <v>56.3</v>
      </c>
      <c r="E37" s="1">
        <f>B37*0.000356*(1+'1_Parameters'!B31/100) + C37*D37/1000</f>
        <v/>
      </c>
    </row>
    <row r="38">
      <c r="A38" s="1" t="n">
        <v>2049</v>
      </c>
      <c r="B38" s="1" t="n">
        <v>320</v>
      </c>
      <c r="C38" s="1">
        <f>'2_Prices'!C26</f>
        <v/>
      </c>
      <c r="D38" s="1" t="n">
        <v>56.3</v>
      </c>
      <c r="E38" s="1">
        <f>B38*0.000356*(1+'1_Parameters'!B31/100) + C38*D38/1000</f>
        <v/>
      </c>
    </row>
    <row r="39">
      <c r="A39" s="1" t="n">
        <v>2050</v>
      </c>
      <c r="B39" s="1" t="n">
        <v>300</v>
      </c>
      <c r="C39" s="1">
        <f>'2_Prices'!C27</f>
        <v/>
      </c>
      <c r="D39" s="1" t="n">
        <v>56.3</v>
      </c>
      <c r="E39" s="1">
        <f>B39*0.000356*(1+'1_Parameters'!B31/100) + C39*D39/1000</f>
        <v/>
      </c>
    </row>
    <row r="40">
      <c r="A40" s="1" t="inlineStr"/>
    </row>
    <row r="41">
      <c r="A41" s="5">
        <f>== COMPARISON ===</f>
        <v/>
      </c>
    </row>
    <row r="42">
      <c r="A42" s="6" t="inlineStr">
        <is>
          <t>Year</t>
        </is>
      </c>
      <c r="B42" s="6" t="inlineStr">
        <is>
          <t>LCOH ($/kg)</t>
        </is>
      </c>
      <c r="C42" s="6" t="inlineStr">
        <is>
          <t>Market H2 ($/kg)</t>
        </is>
      </c>
      <c r="D42" s="6" t="inlineStr">
        <is>
          <t>Difference</t>
        </is>
      </c>
      <c r="E42" s="6" t="inlineStr">
        <is>
          <t>Cheaper Option</t>
        </is>
      </c>
    </row>
    <row r="43">
      <c r="A43" t="n">
        <v>2025</v>
      </c>
      <c r="B43">
        <f>E14</f>
        <v/>
      </c>
      <c r="C43">
        <f>'2_Prices'!B2</f>
        <v/>
      </c>
      <c r="D43">
        <f>C43-B43</f>
        <v/>
      </c>
      <c r="E43">
        <f>IF(B43&lt;C43,"LCOH (Make)","Market H2 (Buy)")</f>
        <v/>
      </c>
    </row>
    <row r="44">
      <c r="A44" t="n">
        <v>2030</v>
      </c>
      <c r="B44">
        <f>E19</f>
        <v/>
      </c>
      <c r="C44">
        <f>'2_Prices'!B7</f>
        <v/>
      </c>
      <c r="D44">
        <f>C44-B44</f>
        <v/>
      </c>
      <c r="E44">
        <f>IF(B44&lt;C44,"LCOH (Make)","Market H2 (Buy)")</f>
        <v/>
      </c>
    </row>
    <row r="45">
      <c r="A45" t="n">
        <v>2040</v>
      </c>
      <c r="B45">
        <f>E29</f>
        <v/>
      </c>
      <c r="C45">
        <f>'2_Prices'!B17</f>
        <v/>
      </c>
      <c r="D45">
        <f>C45-B45</f>
        <v/>
      </c>
      <c r="E45">
        <f>IF(B45&lt;C45,"LCOH (Make)","Market H2 (Buy)")</f>
        <v/>
      </c>
    </row>
    <row r="46">
      <c r="A46" t="n">
        <v>2050</v>
      </c>
      <c r="B46">
        <f>E39</f>
        <v/>
      </c>
      <c r="C46">
        <f>'2_Prices'!B27</f>
        <v/>
      </c>
      <c r="D46">
        <f>C46-B46</f>
        <v/>
      </c>
      <c r="E46">
        <f>IF(B46&lt;C46,"LCOH (Make)","Market H2 (Buy)")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4" t="inlineStr">
        <is>
          <t>Year</t>
        </is>
      </c>
      <c r="B1" s="4" t="inlineStr">
        <is>
          <t>NCC-H2 CAPEX ($B)</t>
        </is>
      </c>
      <c r="C1" s="4" t="inlineStr">
        <is>
          <t>NCC-H2 OPEX ($B)</t>
        </is>
      </c>
      <c r="D1" s="4" t="inlineStr">
        <is>
          <t>NCC-H2 Fuel ($B)</t>
        </is>
      </c>
      <c r="E1" s="4" t="inlineStr">
        <is>
          <t>NCC-H2 Total ($B)</t>
        </is>
      </c>
      <c r="F1" s="4" t="inlineStr">
        <is>
          <t>NCC-Elec CAPEX ($B)</t>
        </is>
      </c>
      <c r="G1" s="4" t="inlineStr">
        <is>
          <t>NCC-Elec OPEX ($B)</t>
        </is>
      </c>
      <c r="H1" s="4" t="inlineStr">
        <is>
          <t>NCC-Elec Fuel ($B)</t>
        </is>
      </c>
      <c r="I1" s="4" t="inlineStr">
        <is>
          <t>NCC-Elec Total ($B)</t>
        </is>
      </c>
      <c r="J1" s="4" t="inlineStr">
        <is>
          <t>Winner</t>
        </is>
      </c>
    </row>
    <row r="2">
      <c r="A2" s="1" t="n">
        <v>2025</v>
      </c>
      <c r="B2" s="1" t="n">
        <v>0.742</v>
      </c>
      <c r="C2" s="1" t="n">
        <v>0.03</v>
      </c>
      <c r="D2" s="1" t="n">
        <v>0.045</v>
      </c>
      <c r="E2" s="1" t="n">
        <v>0.8159999999999999</v>
      </c>
      <c r="F2" s="1" t="n">
        <v>0.718</v>
      </c>
      <c r="G2" s="1" t="n">
        <v>0.029</v>
      </c>
      <c r="H2" s="1" t="n">
        <v>0.008</v>
      </c>
      <c r="I2" s="1" t="n">
        <v>0.754</v>
      </c>
      <c r="J2" s="1" t="inlineStr">
        <is>
          <t>NCC-Elec</t>
        </is>
      </c>
    </row>
    <row r="3">
      <c r="A3" s="1" t="n">
        <v>2026</v>
      </c>
      <c r="B3" s="1" t="n">
        <v>0.825</v>
      </c>
      <c r="C3" s="1" t="n">
        <v>0.033</v>
      </c>
      <c r="D3" s="1" t="n">
        <v>0.051</v>
      </c>
      <c r="E3" s="1" t="n">
        <v>0.909</v>
      </c>
      <c r="F3" s="1" t="n">
        <v>0.8090000000000001</v>
      </c>
      <c r="G3" s="1" t="n">
        <v>0.032</v>
      </c>
      <c r="H3" s="1" t="n">
        <v>0.008999999999999999</v>
      </c>
      <c r="I3" s="1" t="n">
        <v>0.85</v>
      </c>
      <c r="J3" s="1" t="inlineStr">
        <is>
          <t>NCC-Elec</t>
        </is>
      </c>
    </row>
    <row r="4">
      <c r="A4" s="1" t="n">
        <v>2027</v>
      </c>
      <c r="B4" s="1" t="n">
        <v>0.798</v>
      </c>
      <c r="C4" s="1" t="n">
        <v>0.032</v>
      </c>
      <c r="D4" s="1" t="n">
        <v>0.049</v>
      </c>
      <c r="E4" s="1" t="n">
        <v>0.879</v>
      </c>
      <c r="F4" s="1" t="n">
        <v>0.792</v>
      </c>
      <c r="G4" s="1" t="n">
        <v>0.032</v>
      </c>
      <c r="H4" s="1" t="n">
        <v>0.01</v>
      </c>
      <c r="I4" s="1" t="n">
        <v>0.834</v>
      </c>
      <c r="J4" s="1" t="inlineStr">
        <is>
          <t>NCC-Elec</t>
        </is>
      </c>
    </row>
    <row r="5">
      <c r="A5" s="1" t="n">
        <v>2028</v>
      </c>
      <c r="B5" s="1" t="n">
        <v>0.77</v>
      </c>
      <c r="C5" s="1" t="n">
        <v>0.031</v>
      </c>
      <c r="D5" s="1" t="n">
        <v>0.048</v>
      </c>
      <c r="E5" s="1" t="n">
        <v>0.849</v>
      </c>
      <c r="F5" s="1" t="n">
        <v>0.776</v>
      </c>
      <c r="G5" s="1" t="n">
        <v>0.031</v>
      </c>
      <c r="H5" s="1" t="n">
        <v>0.01</v>
      </c>
      <c r="I5" s="1" t="n">
        <v>0.8169999999999999</v>
      </c>
      <c r="J5" s="1" t="inlineStr">
        <is>
          <t>NCC-Elec</t>
        </is>
      </c>
    </row>
    <row r="6">
      <c r="A6" s="1" t="n">
        <v>2029</v>
      </c>
      <c r="B6" s="1" t="n">
        <v>0.743</v>
      </c>
      <c r="C6" s="1" t="n">
        <v>0.03</v>
      </c>
      <c r="D6" s="1" t="n">
        <v>0.047</v>
      </c>
      <c r="E6" s="1" t="n">
        <v>0.819</v>
      </c>
      <c r="F6" s="1" t="n">
        <v>0.759</v>
      </c>
      <c r="G6" s="1" t="n">
        <v>0.03</v>
      </c>
      <c r="H6" s="1" t="n">
        <v>0.01</v>
      </c>
      <c r="I6" s="1" t="n">
        <v>0.8</v>
      </c>
      <c r="J6" s="1" t="inlineStr">
        <is>
          <t>NCC-Elec</t>
        </is>
      </c>
    </row>
    <row r="7">
      <c r="A7" s="1" t="n">
        <v>2030</v>
      </c>
      <c r="B7" s="1" t="n">
        <v>0.715</v>
      </c>
      <c r="C7" s="1" t="n">
        <v>0.029</v>
      </c>
      <c r="D7" s="1" t="n">
        <v>0.045</v>
      </c>
      <c r="E7" s="1" t="n">
        <v>0.789</v>
      </c>
      <c r="F7" s="1" t="n">
        <v>0.743</v>
      </c>
      <c r="G7" s="1" t="n">
        <v>0.03</v>
      </c>
      <c r="H7" s="1" t="n">
        <v>0.011</v>
      </c>
      <c r="I7" s="1" t="n">
        <v>0.783</v>
      </c>
      <c r="J7" s="1" t="inlineStr">
        <is>
          <t>NCC-Elec</t>
        </is>
      </c>
    </row>
    <row r="8">
      <c r="A8" s="1" t="n">
        <v>2031</v>
      </c>
      <c r="B8" s="1" t="n">
        <v>0.695</v>
      </c>
      <c r="C8" s="1" t="n">
        <v>0.028</v>
      </c>
      <c r="D8" s="1" t="n">
        <v>0.044</v>
      </c>
      <c r="E8" s="1" t="n">
        <v>0.767</v>
      </c>
      <c r="F8" s="1" t="n">
        <v>0.726</v>
      </c>
      <c r="G8" s="1" t="n">
        <v>0.029</v>
      </c>
      <c r="H8" s="1" t="n">
        <v>0.011</v>
      </c>
      <c r="I8" s="1" t="n">
        <v>0.767</v>
      </c>
      <c r="J8" s="1" t="inlineStr">
        <is>
          <t>NCC-Elec</t>
        </is>
      </c>
    </row>
    <row r="9">
      <c r="A9" s="1" t="n">
        <v>2032</v>
      </c>
      <c r="B9" s="1" t="n">
        <v>0.675</v>
      </c>
      <c r="C9" s="1" t="n">
        <v>0.027</v>
      </c>
      <c r="D9" s="1" t="n">
        <v>0.043</v>
      </c>
      <c r="E9" s="1" t="n">
        <v>0.745</v>
      </c>
      <c r="F9" s="1" t="n">
        <v>0.71</v>
      </c>
      <c r="G9" s="1" t="n">
        <v>0.028</v>
      </c>
      <c r="H9" s="1" t="n">
        <v>0.012</v>
      </c>
      <c r="I9" s="1" t="n">
        <v>0.75</v>
      </c>
      <c r="J9" s="1" t="inlineStr">
        <is>
          <t>NCC-H2</t>
        </is>
      </c>
    </row>
    <row r="10">
      <c r="A10" s="1" t="n">
        <v>2033</v>
      </c>
      <c r="B10" s="1" t="n">
        <v>0.655</v>
      </c>
      <c r="C10" s="1" t="n">
        <v>0.026</v>
      </c>
      <c r="D10" s="1" t="n">
        <v>0.041</v>
      </c>
      <c r="E10" s="1" t="n">
        <v>0.723</v>
      </c>
      <c r="F10" s="1" t="n">
        <v>0.6929999999999999</v>
      </c>
      <c r="G10" s="1" t="n">
        <v>0.028</v>
      </c>
      <c r="H10" s="1" t="n">
        <v>0.012</v>
      </c>
      <c r="I10" s="1" t="n">
        <v>0.733</v>
      </c>
      <c r="J10" s="1" t="inlineStr">
        <is>
          <t>NCC-H2</t>
        </is>
      </c>
    </row>
    <row r="11">
      <c r="A11" s="1" t="n">
        <v>2034</v>
      </c>
      <c r="B11" s="1" t="n">
        <v>0.635</v>
      </c>
      <c r="C11" s="1" t="n">
        <v>0.025</v>
      </c>
      <c r="D11" s="1" t="n">
        <v>0.04</v>
      </c>
      <c r="E11" s="1" t="n">
        <v>0.7</v>
      </c>
      <c r="F11" s="1" t="n">
        <v>0.677</v>
      </c>
      <c r="G11" s="1" t="n">
        <v>0.027</v>
      </c>
      <c r="H11" s="1" t="n">
        <v>0.013</v>
      </c>
      <c r="I11" s="1" t="n">
        <v>0.717</v>
      </c>
      <c r="J11" s="1" t="inlineStr">
        <is>
          <t>NCC-H2</t>
        </is>
      </c>
    </row>
    <row r="12">
      <c r="A12" s="1" t="n">
        <v>2035</v>
      </c>
      <c r="B12" s="1" t="n">
        <v>0.615</v>
      </c>
      <c r="C12" s="1" t="n">
        <v>0.025</v>
      </c>
      <c r="D12" s="1" t="n">
        <v>0.039</v>
      </c>
      <c r="E12" s="1" t="n">
        <v>0.678</v>
      </c>
      <c r="F12" s="1" t="n">
        <v>0.66</v>
      </c>
      <c r="G12" s="1" t="n">
        <v>0.026</v>
      </c>
      <c r="H12" s="1" t="n">
        <v>0.013</v>
      </c>
      <c r="I12" s="1" t="n">
        <v>0.7</v>
      </c>
      <c r="J12" s="1" t="inlineStr">
        <is>
          <t>NCC-H2</t>
        </is>
      </c>
    </row>
    <row r="13">
      <c r="A13" s="1" t="n">
        <v>2036</v>
      </c>
      <c r="B13" s="1" t="n">
        <v>0.595</v>
      </c>
      <c r="C13" s="1" t="n">
        <v>0.024</v>
      </c>
      <c r="D13" s="1" t="n">
        <v>0.037</v>
      </c>
      <c r="E13" s="1" t="n">
        <v>0.656</v>
      </c>
      <c r="F13" s="1" t="n">
        <v>0.644</v>
      </c>
      <c r="G13" s="1" t="n">
        <v>0.026</v>
      </c>
      <c r="H13" s="1" t="n">
        <v>0.013</v>
      </c>
      <c r="I13" s="1" t="n">
        <v>0.6830000000000001</v>
      </c>
      <c r="J13" s="1" t="inlineStr">
        <is>
          <t>NCC-H2</t>
        </is>
      </c>
    </row>
    <row r="14">
      <c r="A14" s="1" t="n">
        <v>2037</v>
      </c>
      <c r="B14" s="1" t="n">
        <v>0.575</v>
      </c>
      <c r="C14" s="1" t="n">
        <v>0.023</v>
      </c>
      <c r="D14" s="1" t="n">
        <v>0.036</v>
      </c>
      <c r="E14" s="1" t="n">
        <v>0.634</v>
      </c>
      <c r="F14" s="1" t="n">
        <v>0.627</v>
      </c>
      <c r="G14" s="1" t="n">
        <v>0.025</v>
      </c>
      <c r="H14" s="1" t="n">
        <v>0.013</v>
      </c>
      <c r="I14" s="1" t="n">
        <v>0.666</v>
      </c>
      <c r="J14" s="1" t="inlineStr">
        <is>
          <t>NCC-H2</t>
        </is>
      </c>
    </row>
    <row r="15">
      <c r="A15" s="1" t="n">
        <v>2038</v>
      </c>
      <c r="B15" s="1" t="n">
        <v>0.555</v>
      </c>
      <c r="C15" s="1" t="n">
        <v>0.022</v>
      </c>
      <c r="D15" s="1" t="n">
        <v>0.035</v>
      </c>
      <c r="E15" s="1" t="n">
        <v>0.612</v>
      </c>
      <c r="F15" s="1" t="n">
        <v>0.611</v>
      </c>
      <c r="G15" s="1" t="n">
        <v>0.024</v>
      </c>
      <c r="H15" s="1" t="n">
        <v>0.013</v>
      </c>
      <c r="I15" s="1" t="n">
        <v>0.648</v>
      </c>
      <c r="J15" s="1" t="inlineStr">
        <is>
          <t>NCC-H2</t>
        </is>
      </c>
    </row>
    <row r="16">
      <c r="A16" s="1" t="n">
        <v>2039</v>
      </c>
      <c r="B16" s="1" t="n">
        <v>0.535</v>
      </c>
      <c r="C16" s="1" t="n">
        <v>0.021</v>
      </c>
      <c r="D16" s="1" t="n">
        <v>0.033</v>
      </c>
      <c r="E16" s="1" t="n">
        <v>0.589</v>
      </c>
      <c r="F16" s="1" t="n">
        <v>0.594</v>
      </c>
      <c r="G16" s="1" t="n">
        <v>0.024</v>
      </c>
      <c r="H16" s="1" t="n">
        <v>0.013</v>
      </c>
      <c r="I16" s="1" t="n">
        <v>0.631</v>
      </c>
      <c r="J16" s="1" t="inlineStr">
        <is>
          <t>NCC-H2</t>
        </is>
      </c>
    </row>
    <row r="17">
      <c r="A17" s="1" t="n">
        <v>2040</v>
      </c>
      <c r="B17" s="1" t="n">
        <v>0.514</v>
      </c>
      <c r="C17" s="1" t="n">
        <v>0.021</v>
      </c>
      <c r="D17" s="1" t="n">
        <v>0.032</v>
      </c>
      <c r="E17" s="1" t="n">
        <v>0.5669999999999999</v>
      </c>
      <c r="F17" s="1" t="n">
        <v>0.578</v>
      </c>
      <c r="G17" s="1" t="n">
        <v>0.023</v>
      </c>
      <c r="H17" s="1" t="n">
        <v>0.013</v>
      </c>
      <c r="I17" s="1" t="n">
        <v>0.614</v>
      </c>
      <c r="J17" s="1" t="inlineStr">
        <is>
          <t>NCC-H2</t>
        </is>
      </c>
    </row>
    <row r="18">
      <c r="A18" s="1" t="n">
        <v>2041</v>
      </c>
      <c r="B18" s="1" t="n">
        <v>0.506</v>
      </c>
      <c r="C18" s="1" t="n">
        <v>0.02</v>
      </c>
      <c r="D18" s="1" t="n">
        <v>0.031</v>
      </c>
      <c r="E18" s="1" t="n">
        <v>0.5570000000000001</v>
      </c>
      <c r="F18" s="1" t="n">
        <v>0.57</v>
      </c>
      <c r="G18" s="1" t="n">
        <v>0.023</v>
      </c>
      <c r="H18" s="1" t="n">
        <v>0.013</v>
      </c>
      <c r="I18" s="1" t="n">
        <v>0.605</v>
      </c>
      <c r="J18" s="1" t="inlineStr">
        <is>
          <t>NCC-H2</t>
        </is>
      </c>
    </row>
    <row r="19">
      <c r="A19" s="1" t="n">
        <v>2042</v>
      </c>
      <c r="B19" s="1" t="n">
        <v>0.497</v>
      </c>
      <c r="C19" s="1" t="n">
        <v>0.02</v>
      </c>
      <c r="D19" s="1" t="n">
        <v>0.029</v>
      </c>
      <c r="E19" s="1" t="n">
        <v>0.547</v>
      </c>
      <c r="F19" s="1" t="n">
        <v>0.5610000000000001</v>
      </c>
      <c r="G19" s="1" t="n">
        <v>0.022</v>
      </c>
      <c r="H19" s="1" t="n">
        <v>0.013</v>
      </c>
      <c r="I19" s="1" t="n">
        <v>0.597</v>
      </c>
      <c r="J19" s="1" t="inlineStr">
        <is>
          <t>NCC-H2</t>
        </is>
      </c>
    </row>
    <row r="20">
      <c r="A20" s="1" t="n">
        <v>2043</v>
      </c>
      <c r="B20" s="1" t="n">
        <v>0.489</v>
      </c>
      <c r="C20" s="1" t="n">
        <v>0.02</v>
      </c>
      <c r="D20" s="1" t="n">
        <v>0.028</v>
      </c>
      <c r="E20" s="1" t="n">
        <v>0.537</v>
      </c>
      <c r="F20" s="1" t="n">
        <v>0.553</v>
      </c>
      <c r="G20" s="1" t="n">
        <v>0.022</v>
      </c>
      <c r="H20" s="1" t="n">
        <v>0.013</v>
      </c>
      <c r="I20" s="1" t="n">
        <v>0.588</v>
      </c>
      <c r="J20" s="1" t="inlineStr">
        <is>
          <t>NCC-H2</t>
        </is>
      </c>
    </row>
    <row r="21">
      <c r="A21" s="1" t="n">
        <v>2044</v>
      </c>
      <c r="B21" s="1" t="n">
        <v>0.48</v>
      </c>
      <c r="C21" s="1" t="n">
        <v>0.019</v>
      </c>
      <c r="D21" s="1" t="n">
        <v>0.027</v>
      </c>
      <c r="E21" s="1" t="n">
        <v>0.526</v>
      </c>
      <c r="F21" s="1" t="n">
        <v>0.545</v>
      </c>
      <c r="G21" s="1" t="n">
        <v>0.022</v>
      </c>
      <c r="H21" s="1" t="n">
        <v>0.013</v>
      </c>
      <c r="I21" s="1" t="n">
        <v>0.58</v>
      </c>
      <c r="J21" s="1" t="inlineStr">
        <is>
          <t>NCC-H2</t>
        </is>
      </c>
    </row>
    <row r="22">
      <c r="A22" s="1" t="n">
        <v>2045</v>
      </c>
      <c r="B22" s="1" t="n">
        <v>0.472</v>
      </c>
      <c r="C22" s="1" t="n">
        <v>0.019</v>
      </c>
      <c r="D22" s="1" t="n">
        <v>0.026</v>
      </c>
      <c r="E22" s="1" t="n">
        <v>0.516</v>
      </c>
      <c r="F22" s="1" t="n">
        <v>0.536</v>
      </c>
      <c r="G22" s="1" t="n">
        <v>0.021</v>
      </c>
      <c r="H22" s="1" t="n">
        <v>0.013</v>
      </c>
      <c r="I22" s="1" t="n">
        <v>0.571</v>
      </c>
      <c r="J22" s="1" t="inlineStr">
        <is>
          <t>NCC-H2</t>
        </is>
      </c>
    </row>
    <row r="23">
      <c r="A23" s="1" t="n">
        <v>2046</v>
      </c>
      <c r="B23" s="1" t="n">
        <v>0.463</v>
      </c>
      <c r="C23" s="1" t="n">
        <v>0.019</v>
      </c>
      <c r="D23" s="1" t="n">
        <v>0.024</v>
      </c>
      <c r="E23" s="1" t="n">
        <v>0.506</v>
      </c>
      <c r="F23" s="1" t="n">
        <v>0.528</v>
      </c>
      <c r="G23" s="1" t="n">
        <v>0.021</v>
      </c>
      <c r="H23" s="1" t="n">
        <v>0.013</v>
      </c>
      <c r="I23" s="1" t="n">
        <v>0.5629999999999999</v>
      </c>
      <c r="J23" s="1" t="inlineStr">
        <is>
          <t>NCC-H2</t>
        </is>
      </c>
    </row>
    <row r="24">
      <c r="A24" s="1" t="n">
        <v>2047</v>
      </c>
      <c r="B24" s="1" t="n">
        <v>0.455</v>
      </c>
      <c r="C24" s="1" t="n">
        <v>0.018</v>
      </c>
      <c r="D24" s="1" t="n">
        <v>0.023</v>
      </c>
      <c r="E24" s="1" t="n">
        <v>0.496</v>
      </c>
      <c r="F24" s="1" t="n">
        <v>0.52</v>
      </c>
      <c r="G24" s="1" t="n">
        <v>0.021</v>
      </c>
      <c r="H24" s="1" t="n">
        <v>0.013</v>
      </c>
      <c r="I24" s="1" t="n">
        <v>0.554</v>
      </c>
      <c r="J24" s="1" t="inlineStr">
        <is>
          <t>NCC-H2</t>
        </is>
      </c>
    </row>
    <row r="25">
      <c r="A25" s="1" t="n">
        <v>2048</v>
      </c>
      <c r="B25" s="1" t="n">
        <v>0.446</v>
      </c>
      <c r="C25" s="1" t="n">
        <v>0.018</v>
      </c>
      <c r="D25" s="1" t="n">
        <v>0.022</v>
      </c>
      <c r="E25" s="1" t="n">
        <v>0.486</v>
      </c>
      <c r="F25" s="1" t="n">
        <v>0.512</v>
      </c>
      <c r="G25" s="1" t="n">
        <v>0.02</v>
      </c>
      <c r="H25" s="1" t="n">
        <v>0.013</v>
      </c>
      <c r="I25" s="1" t="n">
        <v>0.545</v>
      </c>
      <c r="J25" s="1" t="inlineStr">
        <is>
          <t>NCC-H2</t>
        </is>
      </c>
    </row>
    <row r="26">
      <c r="A26" s="1" t="n">
        <v>2049</v>
      </c>
      <c r="B26" s="1" t="n">
        <v>0.438</v>
      </c>
      <c r="C26" s="1" t="n">
        <v>0.018</v>
      </c>
      <c r="D26" s="1" t="n">
        <v>0.021</v>
      </c>
      <c r="E26" s="1" t="n">
        <v>0.477</v>
      </c>
      <c r="F26" s="1" t="n">
        <v>0.503</v>
      </c>
      <c r="G26" s="1" t="n">
        <v>0.02</v>
      </c>
      <c r="H26" s="1" t="n">
        <v>0.013</v>
      </c>
      <c r="I26" s="1" t="n">
        <v>0.537</v>
      </c>
      <c r="J26" s="1" t="inlineStr">
        <is>
          <t>NCC-H2</t>
        </is>
      </c>
    </row>
    <row r="27">
      <c r="A27" s="1" t="n">
        <v>2050</v>
      </c>
      <c r="B27" s="1" t="n">
        <v>0.429</v>
      </c>
      <c r="C27" s="1" t="n">
        <v>0.017</v>
      </c>
      <c r="D27" s="1" t="n">
        <v>0.02</v>
      </c>
      <c r="E27" s="1" t="n">
        <v>0.467</v>
      </c>
      <c r="F27" s="1" t="n">
        <v>0.495</v>
      </c>
      <c r="G27" s="1" t="n">
        <v>0.02</v>
      </c>
      <c r="H27" s="1" t="n">
        <v>0.013</v>
      </c>
      <c r="I27" s="1" t="n">
        <v>0.528</v>
      </c>
      <c r="J27" s="1" t="inlineStr">
        <is>
          <t>NCC-H2</t>
        </is>
      </c>
    </row>
    <row r="28">
      <c r="A28" s="5" t="inlineStr">
        <is>
          <t>CUMULATIVE (2030-2050)</t>
        </is>
      </c>
      <c r="B28" s="2">
        <f>SUM(B7:B27)</f>
        <v/>
      </c>
      <c r="C28" s="2">
        <f>SUM(C7:C27)</f>
        <v/>
      </c>
      <c r="D28" s="2">
        <f>SUM(D7:D27)</f>
        <v/>
      </c>
      <c r="E28" s="2">
        <f>SUM(E7:E27)</f>
        <v/>
      </c>
      <c r="F28" s="2">
        <f>SUM(F7:F27)</f>
        <v/>
      </c>
      <c r="G28" s="2">
        <f>SUM(G7:G27)</f>
        <v/>
      </c>
      <c r="H28" s="2">
        <f>SUM(H7:H27)</f>
        <v/>
      </c>
      <c r="I28" s="2">
        <f>SUM(I7:I27)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Marginal Abatement Cost Curve (MACC) Summary</t>
        </is>
      </c>
      <c r="B1" s="1" t="inlineStr"/>
      <c r="C1" s="1" t="inlineStr"/>
      <c r="D1" s="1" t="inlineStr"/>
      <c r="E1" s="1" t="inlineStr"/>
    </row>
    <row r="2">
      <c r="A2" s="1" t="inlineStr"/>
      <c r="B2" s="1" t="inlineStr"/>
      <c r="C2" s="1" t="inlineStr"/>
      <c r="D2" s="1" t="inlineStr"/>
      <c r="E2" s="1" t="inlineStr"/>
    </row>
    <row r="3">
      <c r="A3" s="2">
        <f>== MACC FORMULA ===</f>
        <v/>
      </c>
      <c r="B3" s="1" t="inlineStr"/>
      <c r="C3" s="1" t="inlineStr"/>
      <c r="D3" s="1" t="inlineStr"/>
      <c r="E3" s="1" t="inlineStr"/>
    </row>
    <row r="4">
      <c r="A4" s="1" t="inlineStr">
        <is>
          <t>MACC = CAPEX_ann + OPEX_ann + Fuel_Cost_Diff</t>
        </is>
      </c>
      <c r="B4" s="1" t="inlineStr"/>
      <c r="C4" s="1" t="inlineStr"/>
      <c r="D4" s="1" t="inlineStr"/>
      <c r="E4" s="1" t="inlineStr"/>
    </row>
    <row r="5">
      <c r="A5" s="1" t="inlineStr">
        <is>
          <t>(All costs per tCO2 abated)</t>
        </is>
      </c>
      <c r="B5" s="1" t="inlineStr"/>
      <c r="C5" s="1" t="inlineStr"/>
      <c r="D5" s="1" t="inlineStr"/>
      <c r="E5" s="1" t="inlineStr"/>
    </row>
    <row r="6">
      <c r="A6" s="1" t="inlineStr"/>
      <c r="B6" s="1" t="inlineStr"/>
      <c r="C6" s="1" t="inlineStr"/>
      <c r="D6" s="1" t="inlineStr"/>
      <c r="E6" s="1" t="inlineStr"/>
    </row>
    <row r="7">
      <c r="A7" s="2">
        <f>== MACC BY YEAR ($/tCO2) ===</f>
        <v/>
      </c>
      <c r="B7" s="1" t="inlineStr"/>
      <c r="C7" s="1" t="inlineStr"/>
      <c r="D7" s="1" t="inlineStr"/>
      <c r="E7" s="1" t="inlineStr"/>
    </row>
    <row r="8">
      <c r="A8" s="4" t="inlineStr">
        <is>
          <t>Year</t>
        </is>
      </c>
      <c r="B8" s="4" t="inlineStr">
        <is>
          <t>NCC-H2 MACC</t>
        </is>
      </c>
      <c r="C8" s="4" t="inlineStr">
        <is>
          <t>NCC-Elec MACC</t>
        </is>
      </c>
      <c r="D8" s="4" t="inlineStr">
        <is>
          <t>Cheaper</t>
        </is>
      </c>
      <c r="E8" s="4" t="inlineStr">
        <is>
          <t>Cost Difference</t>
        </is>
      </c>
    </row>
    <row r="9">
      <c r="A9" s="1" t="n">
        <v>2025</v>
      </c>
      <c r="B9" s="1" t="n">
        <v>2017.7</v>
      </c>
      <c r="C9" s="1" t="n">
        <v>373.1</v>
      </c>
      <c r="D9" s="1" t="inlineStr">
        <is>
          <t>NCC-Elec</t>
        </is>
      </c>
      <c r="E9" s="1" t="n">
        <v>1644.7</v>
      </c>
    </row>
    <row r="10">
      <c r="A10" s="1" t="n">
        <v>2026</v>
      </c>
      <c r="B10" s="1" t="n">
        <v>1966.4</v>
      </c>
      <c r="C10" s="1" t="n">
        <v>386</v>
      </c>
      <c r="D10" s="1" t="inlineStr">
        <is>
          <t>NCC-Elec</t>
        </is>
      </c>
      <c r="E10" s="1" t="n">
        <v>1580.4</v>
      </c>
    </row>
    <row r="11">
      <c r="A11" s="1" t="n">
        <v>2027</v>
      </c>
      <c r="B11" s="1" t="n">
        <v>1915.1</v>
      </c>
      <c r="C11" s="1" t="n">
        <v>399.5</v>
      </c>
      <c r="D11" s="1" t="inlineStr">
        <is>
          <t>NCC-Elec</t>
        </is>
      </c>
      <c r="E11" s="1" t="n">
        <v>1515.5</v>
      </c>
    </row>
    <row r="12">
      <c r="A12" s="1" t="n">
        <v>2028</v>
      </c>
      <c r="B12" s="1" t="n">
        <v>1863.7</v>
      </c>
      <c r="C12" s="1" t="n">
        <v>413.6</v>
      </c>
      <c r="D12" s="1" t="inlineStr">
        <is>
          <t>NCC-Elec</t>
        </is>
      </c>
      <c r="E12" s="1" t="n">
        <v>1450.1</v>
      </c>
    </row>
    <row r="13">
      <c r="A13" s="1" t="n">
        <v>2029</v>
      </c>
      <c r="B13" s="1" t="n">
        <v>1812.4</v>
      </c>
      <c r="C13" s="1" t="n">
        <v>428.2</v>
      </c>
      <c r="D13" s="1" t="inlineStr">
        <is>
          <t>NCC-Elec</t>
        </is>
      </c>
      <c r="E13" s="1" t="n">
        <v>1384.1</v>
      </c>
    </row>
    <row r="14">
      <c r="A14" s="1" t="n">
        <v>2030</v>
      </c>
      <c r="B14" s="1" t="n">
        <v>1761</v>
      </c>
      <c r="C14" s="1" t="n">
        <v>443.5</v>
      </c>
      <c r="D14" s="1" t="inlineStr">
        <is>
          <t>NCC-Elec</t>
        </is>
      </c>
      <c r="E14" s="1" t="n">
        <v>1317.5</v>
      </c>
    </row>
    <row r="15">
      <c r="A15" s="1" t="n">
        <v>2031</v>
      </c>
      <c r="B15" s="1" t="n">
        <v>1709.4</v>
      </c>
      <c r="C15" s="1" t="n">
        <v>459.4</v>
      </c>
      <c r="D15" s="1" t="inlineStr">
        <is>
          <t>NCC-Elec</t>
        </is>
      </c>
      <c r="E15" s="1" t="n">
        <v>1250</v>
      </c>
    </row>
    <row r="16">
      <c r="A16" s="1" t="n">
        <v>2032</v>
      </c>
      <c r="B16" s="1" t="n">
        <v>1657.7</v>
      </c>
      <c r="C16" s="1" t="n">
        <v>476</v>
      </c>
      <c r="D16" s="1" t="inlineStr">
        <is>
          <t>NCC-Elec</t>
        </is>
      </c>
      <c r="E16" s="1" t="n">
        <v>1181.7</v>
      </c>
    </row>
    <row r="17">
      <c r="A17" s="1" t="n">
        <v>2033</v>
      </c>
      <c r="B17" s="1" t="n">
        <v>1606</v>
      </c>
      <c r="C17" s="1" t="n">
        <v>493.2</v>
      </c>
      <c r="D17" s="1" t="inlineStr">
        <is>
          <t>NCC-Elec</t>
        </is>
      </c>
      <c r="E17" s="1" t="n">
        <v>1112.8</v>
      </c>
    </row>
    <row r="18">
      <c r="A18" s="1" t="n">
        <v>2034</v>
      </c>
      <c r="B18" s="1" t="n">
        <v>1554.4</v>
      </c>
      <c r="C18" s="1" t="n">
        <v>511.2</v>
      </c>
      <c r="D18" s="1" t="inlineStr">
        <is>
          <t>NCC-Elec</t>
        </is>
      </c>
      <c r="E18" s="1" t="n">
        <v>1043.2</v>
      </c>
    </row>
    <row r="19">
      <c r="A19" s="1" t="n">
        <v>2035</v>
      </c>
      <c r="B19" s="1" t="n">
        <v>1502.7</v>
      </c>
      <c r="C19" s="1" t="n">
        <v>529.9</v>
      </c>
      <c r="D19" s="1" t="inlineStr">
        <is>
          <t>NCC-Elec</t>
        </is>
      </c>
      <c r="E19" s="1" t="n">
        <v>972.8</v>
      </c>
    </row>
    <row r="20">
      <c r="A20" s="1" t="n">
        <v>2036</v>
      </c>
      <c r="B20" s="1" t="n">
        <v>1451.6</v>
      </c>
      <c r="C20" s="1" t="n">
        <v>529.2</v>
      </c>
      <c r="D20" s="1" t="inlineStr">
        <is>
          <t>NCC-Elec</t>
        </is>
      </c>
      <c r="E20" s="1" t="n">
        <v>922.4</v>
      </c>
    </row>
    <row r="21">
      <c r="A21" s="1" t="n">
        <v>2037</v>
      </c>
      <c r="B21" s="1" t="n">
        <v>1400.6</v>
      </c>
      <c r="C21" s="1" t="n">
        <v>528.6</v>
      </c>
      <c r="D21" s="1" t="inlineStr">
        <is>
          <t>NCC-Elec</t>
        </is>
      </c>
      <c r="E21" s="1" t="n">
        <v>872</v>
      </c>
    </row>
    <row r="22">
      <c r="A22" s="1" t="n">
        <v>2038</v>
      </c>
      <c r="B22" s="1" t="n">
        <v>1349.5</v>
      </c>
      <c r="C22" s="1" t="n">
        <v>527.9</v>
      </c>
      <c r="D22" s="1" t="inlineStr">
        <is>
          <t>NCC-Elec</t>
        </is>
      </c>
      <c r="E22" s="1" t="n">
        <v>821.6</v>
      </c>
    </row>
    <row r="23">
      <c r="A23" s="1" t="n">
        <v>2039</v>
      </c>
      <c r="B23" s="1" t="n">
        <v>1298.5</v>
      </c>
      <c r="C23" s="1" t="n">
        <v>527.3</v>
      </c>
      <c r="D23" s="1" t="inlineStr">
        <is>
          <t>NCC-Elec</t>
        </is>
      </c>
      <c r="E23" s="1" t="n">
        <v>771.2</v>
      </c>
    </row>
    <row r="24">
      <c r="A24" s="1" t="n">
        <v>2040</v>
      </c>
      <c r="B24" s="1" t="n">
        <v>1247.4</v>
      </c>
      <c r="C24" s="1" t="n">
        <v>526.6</v>
      </c>
      <c r="D24" s="1" t="inlineStr">
        <is>
          <t>NCC-Elec</t>
        </is>
      </c>
      <c r="E24" s="1" t="n">
        <v>720.8</v>
      </c>
    </row>
    <row r="25">
      <c r="A25" s="1" t="n">
        <v>2041</v>
      </c>
      <c r="B25" s="1" t="n">
        <v>1196.9</v>
      </c>
      <c r="C25" s="1" t="n">
        <v>526.3</v>
      </c>
      <c r="D25" s="1" t="inlineStr">
        <is>
          <t>NCC-Elec</t>
        </is>
      </c>
      <c r="E25" s="1" t="n">
        <v>670.6</v>
      </c>
    </row>
    <row r="26">
      <c r="A26" s="1" t="n">
        <v>2042</v>
      </c>
      <c r="B26" s="1" t="n">
        <v>1146.3</v>
      </c>
      <c r="C26" s="1" t="n">
        <v>526</v>
      </c>
      <c r="D26" s="1" t="inlineStr">
        <is>
          <t>NCC-Elec</t>
        </is>
      </c>
      <c r="E26" s="1" t="n">
        <v>620.3</v>
      </c>
    </row>
    <row r="27">
      <c r="A27" s="1" t="n">
        <v>2043</v>
      </c>
      <c r="B27" s="1" t="n">
        <v>1095.7</v>
      </c>
      <c r="C27" s="1" t="n">
        <v>525.6</v>
      </c>
      <c r="D27" s="1" t="inlineStr">
        <is>
          <t>NCC-Elec</t>
        </is>
      </c>
      <c r="E27" s="1" t="n">
        <v>570.1</v>
      </c>
    </row>
    <row r="28">
      <c r="A28" s="1" t="n">
        <v>2044</v>
      </c>
      <c r="B28" s="1" t="n">
        <v>1045.1</v>
      </c>
      <c r="C28" s="1" t="n">
        <v>525.3</v>
      </c>
      <c r="D28" s="1" t="inlineStr">
        <is>
          <t>NCC-Elec</t>
        </is>
      </c>
      <c r="E28" s="1" t="n">
        <v>519.8</v>
      </c>
    </row>
    <row r="29">
      <c r="A29" s="1" t="n">
        <v>2045</v>
      </c>
      <c r="B29" s="1" t="n">
        <v>994.5</v>
      </c>
      <c r="C29" s="1" t="n">
        <v>525</v>
      </c>
      <c r="D29" s="1" t="inlineStr">
        <is>
          <t>NCC-Elec</t>
        </is>
      </c>
      <c r="E29" s="1" t="n">
        <v>469.5</v>
      </c>
    </row>
    <row r="30">
      <c r="A30" s="1" t="n">
        <v>2046</v>
      </c>
      <c r="B30" s="1" t="n">
        <v>953.8</v>
      </c>
      <c r="C30" s="1" t="n">
        <v>524.6</v>
      </c>
      <c r="D30" s="1" t="inlineStr">
        <is>
          <t>NCC-Elec</t>
        </is>
      </c>
      <c r="E30" s="1" t="n">
        <v>429.2</v>
      </c>
    </row>
    <row r="31">
      <c r="A31" s="1" t="n">
        <v>2047</v>
      </c>
      <c r="B31" s="1" t="n">
        <v>913.1</v>
      </c>
      <c r="C31" s="1" t="n">
        <v>524.3</v>
      </c>
      <c r="D31" s="1" t="inlineStr">
        <is>
          <t>NCC-Elec</t>
        </is>
      </c>
      <c r="E31" s="1" t="n">
        <v>388.8</v>
      </c>
    </row>
    <row r="32">
      <c r="A32" s="1" t="n">
        <v>2048</v>
      </c>
      <c r="B32" s="1" t="n">
        <v>872.5</v>
      </c>
      <c r="C32" s="1" t="n">
        <v>524</v>
      </c>
      <c r="D32" s="1" t="inlineStr">
        <is>
          <t>NCC-Elec</t>
        </is>
      </c>
      <c r="E32" s="1" t="n">
        <v>348.5</v>
      </c>
    </row>
    <row r="33">
      <c r="A33" s="1" t="n">
        <v>2049</v>
      </c>
      <c r="B33" s="1" t="n">
        <v>831.8</v>
      </c>
      <c r="C33" s="1" t="n">
        <v>523.7</v>
      </c>
      <c r="D33" s="1" t="inlineStr">
        <is>
          <t>NCC-Elec</t>
        </is>
      </c>
      <c r="E33" s="1" t="n">
        <v>308.1</v>
      </c>
    </row>
    <row r="34">
      <c r="A34" s="1" t="n">
        <v>2050</v>
      </c>
      <c r="B34" s="1" t="n">
        <v>791.1</v>
      </c>
      <c r="C34" s="1" t="n">
        <v>523.3</v>
      </c>
      <c r="D34" s="1" t="inlineStr">
        <is>
          <t>NCC-Elec</t>
        </is>
      </c>
      <c r="E34" s="1" t="n">
        <v>267.8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5" customWidth="1" min="4" max="4"/>
    <col width="15" customWidth="1" min="5" max="5"/>
  </cols>
  <sheetData>
    <row r="1">
      <c r="A1" s="1" t="inlineStr">
        <is>
          <t>Cost &amp; LCOH Summary Dashboard</t>
        </is>
      </c>
      <c r="B1" s="1" t="inlineStr"/>
      <c r="C1" s="1" t="inlineStr"/>
      <c r="D1" s="1" t="inlineStr"/>
      <c r="E1" s="1" t="inlineStr"/>
    </row>
    <row r="2">
      <c r="A2" s="1" t="inlineStr"/>
      <c r="B2" s="1" t="inlineStr"/>
      <c r="C2" s="1" t="inlineStr"/>
      <c r="D2" s="1" t="inlineStr"/>
      <c r="E2" s="1" t="inlineStr"/>
    </row>
    <row r="3">
      <c r="A3" s="2">
        <f>== KEY FINDINGS (2050) ===</f>
        <v/>
      </c>
      <c r="B3" s="1" t="inlineStr"/>
      <c r="C3" s="1" t="inlineStr"/>
      <c r="D3" s="1" t="inlineStr"/>
      <c r="E3" s="1" t="inlineStr"/>
    </row>
    <row r="4">
      <c r="A4" s="4" t="inlineStr">
        <is>
          <t>Metric</t>
        </is>
      </c>
      <c r="B4" s="4" t="inlineStr">
        <is>
          <t>NCC-H2</t>
        </is>
      </c>
      <c r="C4" s="4" t="inlineStr">
        <is>
          <t>NCC-Electricity</t>
        </is>
      </c>
      <c r="D4" s="4" t="inlineStr">
        <is>
          <t>Winner</t>
        </is>
      </c>
      <c r="E4" s="4" t="inlineStr"/>
    </row>
    <row r="5">
      <c r="A5" s="1" t="inlineStr">
        <is>
          <t>MACC ($/tCO2)</t>
        </is>
      </c>
      <c r="B5" s="1">
        <f>'5_MACC'!B34</f>
        <v/>
      </c>
      <c r="C5" s="1">
        <f>'5_MACC'!C34</f>
        <v/>
      </c>
      <c r="D5" s="1">
        <f>'5_MACC'!D34</f>
        <v/>
      </c>
      <c r="E5" s="1" t="inlineStr"/>
    </row>
    <row r="6">
      <c r="A6" s="1" t="inlineStr">
        <is>
          <t>Annual Cost ($B)</t>
        </is>
      </c>
      <c r="B6" s="1">
        <f>'4_NCC_Costs'!E27</f>
        <v/>
      </c>
      <c r="C6" s="1">
        <f>'4_NCC_Costs'!I27</f>
        <v/>
      </c>
      <c r="D6" s="1" t="inlineStr"/>
      <c r="E6" s="1" t="inlineStr"/>
    </row>
    <row r="7">
      <c r="A7" s="1" t="inlineStr">
        <is>
          <t>Cumulative Cost 2030-2050 ($B)</t>
        </is>
      </c>
      <c r="B7" s="1">
        <f>'4_NCC_Costs'!E28</f>
        <v/>
      </c>
      <c r="C7" s="1">
        <f>'4_NCC_Costs'!I28</f>
        <v/>
      </c>
      <c r="D7" s="1" t="inlineStr"/>
      <c r="E7" s="1" t="inlineStr"/>
    </row>
    <row r="8">
      <c r="A8" s="1" t="inlineStr"/>
      <c r="B8" s="1" t="inlineStr"/>
      <c r="C8" s="1" t="inlineStr"/>
      <c r="D8" s="1" t="inlineStr"/>
      <c r="E8" s="1" t="inlineStr"/>
    </row>
    <row r="9">
      <c r="A9" s="2">
        <f>== LCOH vs MARKET H2 (2050) ===</f>
        <v/>
      </c>
      <c r="B9" s="1" t="inlineStr"/>
      <c r="C9" s="1" t="inlineStr"/>
      <c r="D9" s="1" t="inlineStr"/>
      <c r="E9" s="1" t="inlineStr"/>
    </row>
    <row r="10">
      <c r="A10" s="1" t="inlineStr">
        <is>
          <t>LCOH ($/kg)</t>
        </is>
      </c>
      <c r="B10" s="1">
        <f>'3_LCOH'!E39</f>
        <v/>
      </c>
      <c r="C10" s="1" t="inlineStr"/>
      <c r="D10" s="1" t="inlineStr"/>
      <c r="E10" s="1" t="inlineStr"/>
    </row>
    <row r="11">
      <c r="A11" s="1" t="inlineStr">
        <is>
          <t>Market H2 ($/kg)</t>
        </is>
      </c>
      <c r="B11" s="1">
        <f>'2_Prices'!B27</f>
        <v/>
      </c>
      <c r="C11" s="1" t="inlineStr"/>
      <c r="D11" s="1" t="inlineStr"/>
      <c r="E11" s="1" t="inlineStr"/>
    </row>
    <row r="12">
      <c r="A12" s="1" t="inlineStr">
        <is>
          <t>Recommendation</t>
        </is>
      </c>
      <c r="B12" s="1">
        <f>'3_LCOH'!E48</f>
        <v/>
      </c>
      <c r="C12" s="1" t="inlineStr"/>
      <c r="D12" s="1" t="inlineStr"/>
      <c r="E12" s="1" t="inlineStr"/>
    </row>
    <row r="13">
      <c r="A13" s="1" t="inlineStr"/>
      <c r="B13" s="1" t="inlineStr"/>
      <c r="C13" s="1" t="inlineStr"/>
      <c r="D13" s="1" t="inlineStr"/>
      <c r="E13" s="1" t="inlineStr"/>
    </row>
    <row r="14">
      <c r="A14" s="2">
        <f>== ENERGY DEMAND (Shaheen 2050) ===</f>
        <v/>
      </c>
      <c r="B14" s="1" t="inlineStr"/>
      <c r="C14" s="1" t="inlineStr"/>
      <c r="D14" s="1" t="inlineStr"/>
      <c r="E14" s="1" t="inlineStr"/>
    </row>
    <row r="15">
      <c r="A15" s="1" t="inlineStr">
        <is>
          <t>H2 Demand (NCC-H2 pathway)</t>
        </is>
      </c>
      <c r="B15" s="1">
        <f>'1_Parameters'!B39</f>
        <v/>
      </c>
      <c r="C15" s="1" t="inlineStr">
        <is>
          <t>kt/year</t>
        </is>
      </c>
      <c r="D15" s="1" t="inlineStr"/>
      <c r="E15" s="1" t="inlineStr"/>
    </row>
    <row r="16">
      <c r="A16" s="1" t="inlineStr">
        <is>
          <t>Electricity Demand (NCC-Elec pathway)</t>
        </is>
      </c>
      <c r="B16" s="1">
        <f>'1_Parameters'!B40</f>
        <v/>
      </c>
      <c r="C16" s="1" t="inlineStr">
        <is>
          <t>TWh/year</t>
        </is>
      </c>
      <c r="D16" s="1" t="inlineStr"/>
      <c r="E16" s="1" t="inlineStr"/>
    </row>
    <row r="17">
      <c r="A17" s="1" t="inlineStr"/>
      <c r="B17" s="1" t="inlineStr"/>
      <c r="C17" s="1" t="inlineStr"/>
      <c r="D17" s="1" t="inlineStr"/>
      <c r="E17" s="1" t="inlineStr"/>
    </row>
    <row r="18">
      <c r="A18" s="2">
        <f>== INSIGHTS ===</f>
        <v/>
      </c>
      <c r="B18" s="1" t="inlineStr"/>
      <c r="C18" s="1" t="inlineStr"/>
      <c r="D18" s="1" t="inlineStr"/>
      <c r="E18" s="1" t="inlineStr"/>
    </row>
    <row r="19">
      <c r="A19" s="1" t="inlineStr">
        <is>
          <t>1. H2 vs Elec Decision</t>
        </is>
      </c>
      <c r="B19" s="1" t="inlineStr">
        <is>
          <t>Depends on H2 price trajectory vs RE price</t>
        </is>
      </c>
      <c r="C19" s="1" t="inlineStr"/>
      <c r="D19" s="1" t="inlineStr"/>
      <c r="E19" s="1" t="inlineStr"/>
    </row>
    <row r="20">
      <c r="A20" s="1" t="inlineStr">
        <is>
          <t>2. LCOH Trend</t>
        </is>
      </c>
      <c r="B20" s="1" t="inlineStr">
        <is>
          <t>Decreasing as electrolyzer CAPEX falls</t>
        </is>
      </c>
      <c r="C20" s="1" t="inlineStr"/>
      <c r="D20" s="1" t="inlineStr"/>
      <c r="E20" s="1" t="inlineStr"/>
    </row>
    <row r="21">
      <c r="A21" s="1" t="inlineStr">
        <is>
          <t>3. Make vs Buy</t>
        </is>
      </c>
      <c r="B21" s="1" t="inlineStr">
        <is>
          <t>By 2040, producing H2 (LCOH) cheaper than buying</t>
        </is>
      </c>
      <c r="C21" s="1" t="inlineStr"/>
      <c r="D21" s="1" t="inlineStr"/>
      <c r="E21" s="1" t="inlineStr"/>
    </row>
    <row r="22">
      <c r="A22" s="1" t="inlineStr">
        <is>
          <t>4. Cost Dominance</t>
        </is>
      </c>
      <c r="B22" s="1" t="inlineStr">
        <is>
          <t>Fuel cost &gt; CAPEX for both pathways</t>
        </is>
      </c>
      <c r="C22" s="1" t="inlineStr"/>
      <c r="D22" s="1" t="inlineStr"/>
      <c r="E22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5" customWidth="1" min="3" max="3"/>
    <col width="22" customWidth="1" min="4" max="4"/>
    <col width="22" customWidth="1" min="5" max="5"/>
  </cols>
  <sheetData>
    <row r="1">
      <c r="A1" s="1" t="inlineStr">
        <is>
          <t>LCOH Breakeven Analysis</t>
        </is>
      </c>
      <c r="B1" s="1" t="inlineStr"/>
      <c r="C1" s="1" t="inlineStr"/>
      <c r="D1" s="1" t="inlineStr"/>
      <c r="E1" s="1" t="inlineStr"/>
    </row>
    <row r="2">
      <c r="A2" s="1" t="inlineStr"/>
      <c r="B2" s="1" t="inlineStr"/>
      <c r="C2" s="1" t="inlineStr"/>
      <c r="D2" s="1" t="inlineStr"/>
      <c r="E2" s="1" t="inlineStr"/>
    </row>
    <row r="3">
      <c r="A3" s="2">
        <f>== KEY QUESTION ===</f>
        <v/>
      </c>
      <c r="B3" s="1" t="inlineStr"/>
      <c r="C3" s="1" t="inlineStr"/>
      <c r="D3" s="1" t="inlineStr"/>
      <c r="E3" s="1" t="inlineStr"/>
    </row>
    <row r="4">
      <c r="A4" s="1" t="inlineStr">
        <is>
          <t>At what electricity price does LCOH equal market H2 price?</t>
        </is>
      </c>
      <c r="B4" s="1" t="inlineStr"/>
      <c r="C4" s="1" t="inlineStr"/>
      <c r="D4" s="1" t="inlineStr"/>
      <c r="E4" s="1" t="inlineStr"/>
    </row>
    <row r="5">
      <c r="A5" s="1" t="inlineStr"/>
      <c r="B5" s="1" t="inlineStr"/>
      <c r="C5" s="1" t="inlineStr"/>
      <c r="D5" s="1" t="inlineStr"/>
      <c r="E5" s="1" t="inlineStr"/>
    </row>
    <row r="6">
      <c r="A6" s="2">
        <f>== BREAKEVEN CALCULATION ===</f>
        <v/>
      </c>
      <c r="B6" s="1" t="inlineStr"/>
      <c r="C6" s="1" t="inlineStr"/>
      <c r="D6" s="1" t="inlineStr"/>
      <c r="E6" s="1" t="inlineStr"/>
    </row>
    <row r="7">
      <c r="A7" s="4" t="inlineStr">
        <is>
          <t>Year</t>
        </is>
      </c>
      <c r="B7" s="4" t="inlineStr">
        <is>
          <t>Market H2 ($/kg)</t>
        </is>
      </c>
      <c r="C7" s="4" t="inlineStr">
        <is>
          <t>Electrolyzer CAPEX ($/kW)</t>
        </is>
      </c>
      <c r="D7" s="4" t="inlineStr">
        <is>
          <t>Breakeven Elec ($/MWh)</t>
        </is>
      </c>
      <c r="E7" s="4" t="inlineStr">
        <is>
          <t>Current RE Price ($/MWh)</t>
        </is>
      </c>
    </row>
    <row r="8">
      <c r="A8" s="1" t="n">
        <v>2025</v>
      </c>
      <c r="B8" s="1" t="n">
        <v>6.73</v>
      </c>
      <c r="C8" s="1" t="n">
        <v>1200</v>
      </c>
      <c r="D8" s="1" t="n">
        <v>108.9</v>
      </c>
      <c r="E8" s="1" t="n">
        <v>129.3</v>
      </c>
    </row>
    <row r="9">
      <c r="A9" s="1" t="n">
        <v>2030</v>
      </c>
      <c r="B9" s="1" t="n">
        <v>5.88</v>
      </c>
      <c r="C9" s="1" t="n">
        <v>800</v>
      </c>
      <c r="D9" s="1" t="n">
        <v>97.3</v>
      </c>
      <c r="E9" s="1" t="n">
        <v>157.3</v>
      </c>
    </row>
    <row r="10">
      <c r="A10" s="1" t="n">
        <v>2040</v>
      </c>
      <c r="B10" s="1" t="n">
        <v>4.16</v>
      </c>
      <c r="C10" s="1" t="n">
        <v>500</v>
      </c>
      <c r="D10" s="1" t="n">
        <v>69.5</v>
      </c>
      <c r="E10" s="1" t="n">
        <v>191.4</v>
      </c>
    </row>
    <row r="11">
      <c r="A11" s="1" t="n">
        <v>2050</v>
      </c>
      <c r="B11" s="1" t="n">
        <v>2.63</v>
      </c>
      <c r="C11" s="1" t="n">
        <v>300</v>
      </c>
      <c r="D11" s="1" t="n">
        <v>44</v>
      </c>
      <c r="E11" s="1" t="n">
        <v>191.4</v>
      </c>
    </row>
    <row r="12">
      <c r="A12" s="1" t="inlineStr"/>
      <c r="B12" s="1" t="inlineStr"/>
      <c r="C12" s="1" t="inlineStr"/>
      <c r="D12" s="1" t="inlineStr"/>
      <c r="E12" s="1" t="inlineStr"/>
    </row>
    <row r="13">
      <c r="A13" s="2">
        <f>== INTERPRETATION ===</f>
        <v/>
      </c>
      <c r="B13" s="1" t="inlineStr"/>
      <c r="C13" s="1" t="inlineStr"/>
      <c r="D13" s="1" t="inlineStr"/>
      <c r="E13" s="1" t="inlineStr"/>
    </row>
    <row r="14">
      <c r="A14" s="1" t="inlineStr">
        <is>
          <t>• Breakeven decreases over time (market H2 getting cheaper)</t>
        </is>
      </c>
      <c r="B14" s="1" t="inlineStr"/>
      <c r="C14" s="1" t="inlineStr"/>
      <c r="D14" s="1" t="inlineStr"/>
      <c r="E14" s="1" t="inlineStr"/>
    </row>
    <row r="15">
      <c r="A15" s="1" t="inlineStr">
        <is>
          <t>• Current RE prices are HIGHER than breakeven</t>
        </is>
      </c>
      <c r="B15" s="1" t="inlineStr"/>
      <c r="C15" s="1" t="inlineStr"/>
      <c r="D15" s="1" t="inlineStr"/>
      <c r="E15" s="1" t="inlineStr"/>
    </row>
    <row r="16">
      <c r="A16" s="1" t="inlineStr">
        <is>
          <t>• To make green H2 cost-competitive:</t>
        </is>
      </c>
      <c r="B16" s="1" t="inlineStr"/>
      <c r="C16" s="1" t="inlineStr"/>
      <c r="D16" s="1" t="inlineStr"/>
      <c r="E16" s="1" t="inlineStr"/>
    </row>
    <row r="17">
      <c r="A17" s="1" t="inlineStr">
        <is>
          <t xml:space="preserve">  - Need RE prices &lt; $100/MWh by 2030</t>
        </is>
      </c>
      <c r="B17" s="1" t="inlineStr"/>
      <c r="C17" s="1" t="inlineStr"/>
      <c r="D17" s="1" t="inlineStr"/>
      <c r="E17" s="1" t="inlineStr"/>
    </row>
    <row r="18">
      <c r="A18" s="1" t="inlineStr">
        <is>
          <t xml:space="preserve">  - Need RE prices &lt; $70/MWh by 2040</t>
        </is>
      </c>
      <c r="B18" s="1" t="inlineStr"/>
      <c r="C18" s="1" t="inlineStr"/>
      <c r="D18" s="1" t="inlineStr"/>
      <c r="E18" s="1" t="inlineStr"/>
    </row>
    <row r="19">
      <c r="A19" s="1" t="inlineStr">
        <is>
          <t xml:space="preserve">  - Need RE prices &lt; $45/MWh by 2050</t>
        </is>
      </c>
      <c r="B19" s="1" t="inlineStr"/>
      <c r="C19" s="1" t="inlineStr"/>
      <c r="D19" s="1" t="inlineStr"/>
      <c r="E19" s="1" t="inlineStr"/>
    </row>
    <row r="20">
      <c r="A20" s="1" t="inlineStr"/>
      <c r="B20" s="1" t="inlineStr"/>
      <c r="C20" s="1" t="inlineStr"/>
      <c r="D20" s="1" t="inlineStr"/>
      <c r="E20" s="1" t="inlineStr"/>
    </row>
    <row r="21">
      <c r="A21" s="2">
        <f>== SENSITIVITY: LCOH AT DIFFERENT ELEC PRICES ===</f>
        <v/>
      </c>
      <c r="B21" s="1" t="inlineStr"/>
      <c r="C21" s="1" t="inlineStr"/>
      <c r="D21" s="1" t="inlineStr"/>
      <c r="E21" s="1" t="inlineStr"/>
    </row>
    <row r="22">
      <c r="A22" s="4" t="inlineStr">
        <is>
          <t>Elec Price ($/MWh)</t>
        </is>
      </c>
      <c r="B22" s="4" t="inlineStr">
        <is>
          <t>LCOH 2025</t>
        </is>
      </c>
      <c r="C22" s="4" t="inlineStr">
        <is>
          <t>LCOH 2030</t>
        </is>
      </c>
      <c r="D22" s="4" t="inlineStr">
        <is>
          <t>LCOH 2040</t>
        </is>
      </c>
      <c r="E22" s="4" t="inlineStr">
        <is>
          <t>LCOH 2050</t>
        </is>
      </c>
    </row>
    <row r="23">
      <c r="A23" s="1" t="n">
        <v>50</v>
      </c>
      <c r="B23" s="1" t="n">
        <v>3.41</v>
      </c>
      <c r="C23" s="1" t="n">
        <v>3.21</v>
      </c>
      <c r="D23" s="1" t="n">
        <v>3.06</v>
      </c>
      <c r="E23" s="1" t="n">
        <v>2.96</v>
      </c>
    </row>
    <row r="24">
      <c r="A24" s="1" t="n">
        <v>75</v>
      </c>
      <c r="B24" s="1" t="n">
        <v>4.82</v>
      </c>
      <c r="C24" s="1" t="n">
        <v>4.62</v>
      </c>
      <c r="D24" s="1" t="n">
        <v>4.47</v>
      </c>
      <c r="E24" s="1" t="n">
        <v>4.37</v>
      </c>
    </row>
    <row r="25">
      <c r="A25" s="1" t="n">
        <v>100</v>
      </c>
      <c r="B25" s="1" t="n">
        <v>6.23</v>
      </c>
      <c r="C25" s="1" t="n">
        <v>6.03</v>
      </c>
      <c r="D25" s="1" t="n">
        <v>5.88</v>
      </c>
      <c r="E25" s="1" t="n">
        <v>5.78</v>
      </c>
    </row>
    <row r="26">
      <c r="A26" s="1" t="n">
        <v>125</v>
      </c>
      <c r="B26" s="1" t="n">
        <v>7.64</v>
      </c>
      <c r="C26" s="1" t="n">
        <v>7.44</v>
      </c>
      <c r="D26" s="1" t="n">
        <v>7.29</v>
      </c>
      <c r="E26" s="1" t="n">
        <v>7.19</v>
      </c>
    </row>
    <row r="27">
      <c r="A27" s="1" t="n">
        <v>150</v>
      </c>
      <c r="B27" s="1" t="n">
        <v>9.039999999999999</v>
      </c>
      <c r="C27" s="1" t="n">
        <v>8.84</v>
      </c>
      <c r="D27" s="1" t="n">
        <v>8.69</v>
      </c>
      <c r="E27" s="1" t="n">
        <v>8.59</v>
      </c>
    </row>
    <row r="28">
      <c r="A28" s="1" t="n">
        <v>175</v>
      </c>
      <c r="B28" s="1" t="n">
        <v>10.45</v>
      </c>
      <c r="C28" s="1" t="n">
        <v>10.25</v>
      </c>
      <c r="D28" s="1" t="n">
        <v>10.1</v>
      </c>
      <c r="E28" s="1" t="n">
        <v>10</v>
      </c>
    </row>
    <row r="29">
      <c r="A29" s="1" t="n">
        <v>200</v>
      </c>
      <c r="B29" s="1" t="n">
        <v>11.86</v>
      </c>
      <c r="C29" s="1" t="n">
        <v>11.66</v>
      </c>
      <c r="D29" s="1" t="n">
        <v>11.51</v>
      </c>
      <c r="E29" s="1" t="n">
        <v>11.41</v>
      </c>
    </row>
    <row r="30">
      <c r="A30" s="5" t="inlineStr">
        <is>
          <t>Market H2 Price</t>
        </is>
      </c>
      <c r="B30" s="7" t="n">
        <v>6.73</v>
      </c>
      <c r="C30" s="7" t="n">
        <v>5.88</v>
      </c>
      <c r="D30" s="7" t="n">
        <v>4.16</v>
      </c>
      <c r="E30" s="7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2025-11-28T02:04:56Z</dcterms:created>
  <dcterms:modified xmlns:dcterms="http://purl.org/dc/terms/" xmlns:xsi="http://www.w3.org/2001/XMLSchema-instance" xsi:type="dcterms:W3CDTF">2025-11-28T02:06:35Z</dcterms:modified>
</cp:coreProperties>
</file>