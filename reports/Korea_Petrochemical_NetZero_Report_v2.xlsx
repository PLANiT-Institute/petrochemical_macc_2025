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30"/>
  <workbookPr/>
  <mc:AlternateContent xmlns:mc="http://schemas.openxmlformats.org/markup-compatibility/2006">
    <mc:Choice Requires="x15">
      <x15ac:absPath xmlns:x15ac="http://schemas.microsoft.com/office/spreadsheetml/2010/11/ac" url="/Users/jinsupark/jinsu-coding/petrochemical_macc_2025/reports/"/>
    </mc:Choice>
  </mc:AlternateContent>
  <xr:revisionPtr revIDLastSave="0" documentId="13_ncr:1_{753DD9D8-A174-CC43-A6E2-ECA00F8D9A9B}" xr6:coauthVersionLast="47" xr6:coauthVersionMax="47" xr10:uidLastSave="{00000000-0000-0000-0000-000000000000}"/>
  <bookViews>
    <workbookView xWindow="0" yWindow="500" windowWidth="38400" windowHeight="19880" firstSheet="16" activeTab="25" xr2:uid="{00000000-000D-0000-FFFF-FFFF00000000}"/>
  </bookViews>
  <sheets>
    <sheet name="1. Executive Summary" sheetId="1" r:id="rId1"/>
    <sheet name="2. Assumptions &amp; References" sheetId="2" r:id="rId2"/>
    <sheet name="3. Facility Database" sheetId="3" r:id="rId3"/>
    <sheet name="4. Emission Methodology" sheetId="4" r:id="rId4"/>
    <sheet name="5. BAU Trajectory" sheetId="5" r:id="rId5"/>
    <sheet name="6. Technology MACC" sheetId="6" r:id="rId6"/>
    <sheet name="7. Optimization Results" sheetId="7" r:id="rId7"/>
    <sheet name="8. Energy Demand" sheetId="8" r:id="rId8"/>
    <sheet name="9. Cost Analysis" sheetId="9" r:id="rId9"/>
    <sheet name="10. References" sheetId="10" r:id="rId10"/>
    <sheet name="11. Regional Analysis" sheetId="11" r:id="rId11"/>
    <sheet name="12. Operating Rate Analysis" sheetId="12" r:id="rId12"/>
    <sheet name="13. NCC-H2 Scenario" sheetId="13" r:id="rId13"/>
    <sheet name="14. Scenario Comparison" sheetId="14" r:id="rId14"/>
    <sheet name="15. 2035 Target Analysis" sheetId="15" r:id="rId15"/>
    <sheet name="16. Learning Curve Sensitivity" sheetId="16" r:id="rId16"/>
    <sheet name="17. Facility Transition" sheetId="17" r:id="rId17"/>
    <sheet name="18. Full Facility Database" sheetId="18" r:id="rId18"/>
    <sheet name="19. Annual MACC Data" sheetId="19" r:id="rId19"/>
    <sheet name="20. 2050 Facility Allocation" sheetId="20" r:id="rId20"/>
    <sheet name="21. Shaheen + NCC-H2" sheetId="21" r:id="rId21"/>
    <sheet name="22. Shaheen + NCC-Elec" sheetId="22" r:id="rId22"/>
    <sheet name="23. Restructure 25% + NC" sheetId="23" r:id="rId23"/>
    <sheet name="24. Restructure 25% + NC" sheetId="24" r:id="rId24"/>
    <sheet name="25. Restructure 40% + NC" sheetId="25" r:id="rId25"/>
    <sheet name="26. Restructure 40% + NC" sheetId="26" r:id="rId26"/>
  </sheets>
  <calcPr calcId="0"/>
</workbook>
</file>

<file path=xl/sharedStrings.xml><?xml version="1.0" encoding="utf-8"?>
<sst xmlns="http://schemas.openxmlformats.org/spreadsheetml/2006/main" count="4752" uniqueCount="1230">
  <si>
    <t>Korea Petrochemical Industry Net Zero Transition Analysis</t>
  </si>
  <si>
    <t>Study Information</t>
  </si>
  <si>
    <t>Author</t>
  </si>
  <si>
    <t>PLANiT Institute</t>
  </si>
  <si>
    <t>Publication</t>
  </si>
  <si>
    <t>Carbon Neutrality (Springer Nature), 2025</t>
  </si>
  <si>
    <t>Scope</t>
  </si>
  <si>
    <t>248 petrochemical facilities across Korea</t>
  </si>
  <si>
    <t>Baseline Year</t>
  </si>
  <si>
    <t>2025</t>
  </si>
  <si>
    <t>Target Year</t>
  </si>
  <si>
    <t>2050 (Net Zero)</t>
  </si>
  <si>
    <t>Interim Target</t>
  </si>
  <si>
    <t>2035: 43.5 MtCO2 (24.5% reduction vs 2018)</t>
  </si>
  <si>
    <t>Baseline Emissions</t>
  </si>
  <si>
    <t>70.32 MtCO2/year</t>
  </si>
  <si>
    <t>Key Results (2050)</t>
  </si>
  <si>
    <t>BAU Emissions (2050)</t>
  </si>
  <si>
    <t>36.37 MtCO2</t>
  </si>
  <si>
    <t>Net Zero Achieved</t>
  </si>
  <si>
    <t>0.0000 MtCO2</t>
  </si>
  <si>
    <t>Total CAPEX Investment</t>
  </si>
  <si>
    <t>$21.0 Billion</t>
  </si>
  <si>
    <t>Electricity Demand (2050)</t>
  </si>
  <si>
    <t>157.1 TWh</t>
  </si>
  <si>
    <t>Key Technology</t>
  </si>
  <si>
    <t>NCC-Electricity (Electric Cracker)</t>
  </si>
  <si>
    <t>Technology Deployment (2050)</t>
  </si>
  <si>
    <t>Technology</t>
  </si>
  <si>
    <t>Abatement</t>
  </si>
  <si>
    <t>Description</t>
  </si>
  <si>
    <t>NCC-Electricity</t>
  </si>
  <si>
    <t>29.6 MtCO2</t>
  </si>
  <si>
    <t>Electric naphtha cracking</t>
  </si>
  <si>
    <t>Heat Pump</t>
  </si>
  <si>
    <t>0.0 MtCO2</t>
  </si>
  <si>
    <t>Industrial heat pumps (&lt;165C)</t>
  </si>
  <si>
    <t>RE PPA</t>
  </si>
  <si>
    <t>6.7 MtCO2</t>
  </si>
  <si>
    <t>Renewable power purchase</t>
  </si>
  <si>
    <t>Model Assumptions and Data Sources</t>
  </si>
  <si>
    <t>1. Emission Factors</t>
  </si>
  <si>
    <t>Fuel</t>
  </si>
  <si>
    <t>Emission Factor</t>
  </si>
  <si>
    <t>Unit</t>
  </si>
  <si>
    <t>Source</t>
  </si>
  <si>
    <t>Naphtha</t>
  </si>
  <si>
    <t>0.0542</t>
  </si>
  <si>
    <t>tCO2/GJ</t>
  </si>
  <si>
    <t>IPCC 2019 Refinement, Table 2.3</t>
  </si>
  <si>
    <t>LNG</t>
  </si>
  <si>
    <t>0.0561</t>
  </si>
  <si>
    <t>Fuel Gas</t>
  </si>
  <si>
    <t>0.050</t>
  </si>
  <si>
    <t>API Compendium 2021 (Mixed refinery gas)</t>
  </si>
  <si>
    <t>Byproduct Gas</t>
  </si>
  <si>
    <t>0.048</t>
  </si>
  <si>
    <t>API Compendium 2021 (Higher H2 content)</t>
  </si>
  <si>
    <t>LPG</t>
  </si>
  <si>
    <t>0.0631</t>
  </si>
  <si>
    <t>Fuel Oil</t>
  </si>
  <si>
    <t>0.0773</t>
  </si>
  <si>
    <t>Diesel</t>
  </si>
  <si>
    <t>0.0741</t>
  </si>
  <si>
    <t>Green H2</t>
  </si>
  <si>
    <t>0.0</t>
  </si>
  <si>
    <t>tCO2/kg</t>
  </si>
  <si>
    <t>Zero-emission (electrolysis)</t>
  </si>
  <si>
    <t>2. Grid Emission Factor Trajectory</t>
  </si>
  <si>
    <t>Source: Korea 10th Basic Plan for Electricity Supply and Demand (2023)</t>
  </si>
  <si>
    <t>Year</t>
  </si>
  <si>
    <t>Grid EF (tCO2/MWh)</t>
  </si>
  <si>
    <t>Reduction vs 2025</t>
  </si>
  <si>
    <t>0%</t>
  </si>
  <si>
    <t>20%</t>
  </si>
  <si>
    <t>36%</t>
  </si>
  <si>
    <t>68%</t>
  </si>
  <si>
    <t>84%</t>
  </si>
  <si>
    <t>100%</t>
  </si>
  <si>
    <t>3. Technology Parameters</t>
  </si>
  <si>
    <t>Key Parameter</t>
  </si>
  <si>
    <t>Value</t>
  </si>
  <si>
    <t>TRL</t>
  </si>
  <si>
    <t>Available</t>
  </si>
  <si>
    <t>COP</t>
  </si>
  <si>
    <t>4.0</t>
  </si>
  <si>
    <t>Kosmadakis et al. 2020</t>
  </si>
  <si>
    <t>9</t>
  </si>
  <si>
    <t>CAPEX (2025)</t>
  </si>
  <si>
    <t>$800/tCO2</t>
  </si>
  <si>
    <t>McKinsey 2024</t>
  </si>
  <si>
    <t>CAPEX (2050)</t>
  </si>
  <si>
    <t>$400/tCO2</t>
  </si>
  <si>
    <t>Learning curve (50% reduction)</t>
  </si>
  <si>
    <t>Electricity</t>
  </si>
  <si>
    <t>5.0 MWh/ton C2H4</t>
  </si>
  <si>
    <t>BASF/SABIC/Linde Pilot 2024</t>
  </si>
  <si>
    <t>8</t>
  </si>
  <si>
    <t>2030</t>
  </si>
  <si>
    <t>$1,500/t-C2H4/yr</t>
  </si>
  <si>
    <t>Toribio-Ramirez et al. 2025</t>
  </si>
  <si>
    <t>$900/t-C2H4/yr</t>
  </si>
  <si>
    <t>Learning curve (40% reduction)</t>
  </si>
  <si>
    <t>NCC-H2</t>
  </si>
  <si>
    <t>H2 Consumption</t>
  </si>
  <si>
    <t>0.2 ton/ton C2H4</t>
  </si>
  <si>
    <t>Lummus Tech 2023 (Energy Only)</t>
  </si>
  <si>
    <t>7</t>
  </si>
  <si>
    <t>$1,700/t-C2H4/yr</t>
  </si>
  <si>
    <t>Thunder Said Energy 2023</t>
  </si>
  <si>
    <t>$780/t-C2H4/yr</t>
  </si>
  <si>
    <t>Learning curve (54% reduction)</t>
  </si>
  <si>
    <t>RDH</t>
  </si>
  <si>
    <t>Efficiency</t>
  </si>
  <si>
    <t>93%</t>
  </si>
  <si>
    <t>Coolbrook 2024</t>
  </si>
  <si>
    <t>2026</t>
  </si>
  <si>
    <t>Temperature</t>
  </si>
  <si>
    <t>Up to 1,700C</t>
  </si>
  <si>
    <t>Price (2025)</t>
  </si>
  <si>
    <t>$129/MWh</t>
  </si>
  <si>
    <t>-</t>
  </si>
  <si>
    <t>Price (2050)</t>
  </si>
  <si>
    <t>$191/MWh</t>
  </si>
  <si>
    <t>4. Price Trajectories</t>
  </si>
  <si>
    <t>Grid Price ($/MWh)</t>
  </si>
  <si>
    <t>RE PPA ($/MWh)</t>
  </si>
  <si>
    <t>H2 Price ($/kg)</t>
  </si>
  <si>
    <t>Source: PLANiT Institute assumptions based on literature review</t>
  </si>
  <si>
    <t>5. Demand Growth Assumptions</t>
  </si>
  <si>
    <t>Period</t>
  </si>
  <si>
    <t>Annual Growth Rate</t>
  </si>
  <si>
    <t>Operating Rate</t>
  </si>
  <si>
    <t>Rationale</t>
  </si>
  <si>
    <t>2025-2030</t>
  </si>
  <si>
    <t>1.5%</t>
  </si>
  <si>
    <t>70%</t>
  </si>
  <si>
    <t>Baseline growth; 70% ops (Chinese overcapacity)</t>
  </si>
  <si>
    <t>2031-2035</t>
  </si>
  <si>
    <t>1.3%</t>
  </si>
  <si>
    <t>Moderate growth</t>
  </si>
  <si>
    <t>2036-2040</t>
  </si>
  <si>
    <t>1.0%</t>
  </si>
  <si>
    <t>Market maturation</t>
  </si>
  <si>
    <t>2041-2050</t>
  </si>
  <si>
    <t>0.5-0.8%</t>
  </si>
  <si>
    <t>Slow growth, mature market</t>
  </si>
  <si>
    <t>Korea Petrochemical Facility Database (248 Facilities)</t>
  </si>
  <si>
    <t>Source: Korea Petrochemical Industry Association (KPIA) 2023</t>
  </si>
  <si>
    <t>Summary Statistics</t>
  </si>
  <si>
    <t>Total Facilities</t>
  </si>
  <si>
    <t>Total Capacity</t>
  </si>
  <si>
    <t>104,762 kt/year</t>
  </si>
  <si>
    <t>Locations</t>
  </si>
  <si>
    <t>Daesan, Yeosu, Onsan, Ulsan, Gwangyang, Incheon</t>
  </si>
  <si>
    <t>Products</t>
  </si>
  <si>
    <t>Companies</t>
  </si>
  <si>
    <t>Capacity by Region</t>
  </si>
  <si>
    <t>Location</t>
  </si>
  <si>
    <t>Capacity (kt)</t>
  </si>
  <si>
    <t>Share (%)</t>
  </si>
  <si>
    <t>Yeosu</t>
  </si>
  <si>
    <t>33,642</t>
  </si>
  <si>
    <t>32.1%</t>
  </si>
  <si>
    <t>Daesan</t>
  </si>
  <si>
    <t>26,324</t>
  </si>
  <si>
    <t>25.1%</t>
  </si>
  <si>
    <t>Ulsan</t>
  </si>
  <si>
    <t>22,185</t>
  </si>
  <si>
    <t>21.2%</t>
  </si>
  <si>
    <t>Onsan</t>
  </si>
  <si>
    <t>18,621</t>
  </si>
  <si>
    <t>17.8%</t>
  </si>
  <si>
    <t>Incheon</t>
  </si>
  <si>
    <t>2,100</t>
  </si>
  <si>
    <t>2.0%</t>
  </si>
  <si>
    <t>Busan/Iksan/Siheung</t>
  </si>
  <si>
    <t>530</t>
  </si>
  <si>
    <t>0.5%</t>
  </si>
  <si>
    <t>Gwangyang</t>
  </si>
  <si>
    <t>390</t>
  </si>
  <si>
    <t>0.4%</t>
  </si>
  <si>
    <t>Gunsan</t>
  </si>
  <si>
    <t>330</t>
  </si>
  <si>
    <t>0.3%</t>
  </si>
  <si>
    <t>Jeonju</t>
  </si>
  <si>
    <t>208</t>
  </si>
  <si>
    <t>0.2%</t>
  </si>
  <si>
    <t>Naju</t>
  </si>
  <si>
    <t>180</t>
  </si>
  <si>
    <t>Capacity by Product</t>
  </si>
  <si>
    <t>Product</t>
  </si>
  <si>
    <t>Ethylene</t>
  </si>
  <si>
    <t>13,317</t>
  </si>
  <si>
    <t>P-X</t>
  </si>
  <si>
    <t>10,790</t>
  </si>
  <si>
    <t>Propylene</t>
  </si>
  <si>
    <t>10,746</t>
  </si>
  <si>
    <t>Benzene</t>
  </si>
  <si>
    <t>8,612</t>
  </si>
  <si>
    <t>PP</t>
  </si>
  <si>
    <t>7,394</t>
  </si>
  <si>
    <t>TPA</t>
  </si>
  <si>
    <t>4,920</t>
  </si>
  <si>
    <t>HDPE</t>
  </si>
  <si>
    <t>4,795</t>
  </si>
  <si>
    <t>Xylene</t>
  </si>
  <si>
    <t>3,494</t>
  </si>
  <si>
    <t>Toluene</t>
  </si>
  <si>
    <t>2,928</t>
  </si>
  <si>
    <t>EDC</t>
  </si>
  <si>
    <t>2,781</t>
  </si>
  <si>
    <t>SM</t>
  </si>
  <si>
    <t>2,749</t>
  </si>
  <si>
    <t>L-LDPE</t>
  </si>
  <si>
    <t>2,708</t>
  </si>
  <si>
    <t>Butadiene</t>
  </si>
  <si>
    <t>2,570</t>
  </si>
  <si>
    <t>ABS</t>
  </si>
  <si>
    <t>2,353</t>
  </si>
  <si>
    <t>LDPE</t>
  </si>
  <si>
    <t>2,152</t>
  </si>
  <si>
    <t>Emission Calculation Methodology</t>
  </si>
  <si>
    <t>1. Baseline Emission Calculation</t>
  </si>
  <si>
    <t>Formula:</t>
  </si>
  <si>
    <t>Total_Emissions = Sum (Fuel_Consumption_i x EF_i)</t>
  </si>
  <si>
    <t>Where:</t>
  </si>
  <si>
    <t xml:space="preserve">  - Fuel_Consumption = Capacity (kt) x Energy_Intensity (GJ/kt or kWh/kt)</t>
  </si>
  <si>
    <t xml:space="preserve">  - EF_i = Emission factor for fuel type i (from IPCC/API)</t>
  </si>
  <si>
    <t xml:space="preserve">  - Electricity emissions use grid EF trajectory (Korea 10th Power Plan)</t>
  </si>
  <si>
    <t>2. 2018 Baseline Reference</t>
  </si>
  <si>
    <t>2018 Baseline Emissions: 57.6 MtCO2</t>
  </si>
  <si>
    <t xml:space="preserve">  - Used as reference for 2035 NDC target calculation</t>
  </si>
  <si>
    <t xml:space="preserve">  - 2035 Target = 57.6 x (1 - 0.245) = 43.5 MtCO2</t>
  </si>
  <si>
    <t xml:space="preserve">  - Source: Korea NDC submission (2024)</t>
  </si>
  <si>
    <t>3. BAU Trajectory Projection</t>
  </si>
  <si>
    <t>BAU_Emissions(year) = [Fossil x Capacity_Multiplier x Op_Rate]</t>
  </si>
  <si>
    <t xml:space="preserve">                    + [Elec x Capacity_Multiplier x Op_Rate x Grid_EF(year)/Grid_EF(2025)]</t>
  </si>
  <si>
    <t>4. Baseline Results (2025, 70% Operating Rate)</t>
  </si>
  <si>
    <t>Total Emissions</t>
  </si>
  <si>
    <t>46.34 MtCO2/year</t>
  </si>
  <si>
    <t>Fossil Fuel Emissions</t>
  </si>
  <si>
    <t>40.47 MtCO2 (87%)</t>
  </si>
  <si>
    <t>Electricity Emissions</t>
  </si>
  <si>
    <t>5.86 MtCO2 (13%)</t>
  </si>
  <si>
    <t>Business-As-Usual (BAU) Emission Trajectory (2025-2050)</t>
  </si>
  <si>
    <t>Scenario: No technology deployment; only grid decarbonization benefit</t>
  </si>
  <si>
    <t>Fossil Emissions (Mt)</t>
  </si>
  <si>
    <t>Electricity Emissions (Mt)</t>
  </si>
  <si>
    <t>Total Emissions (Mt)</t>
  </si>
  <si>
    <t>Total Capacity (kt)</t>
  </si>
  <si>
    <t>104,762</t>
  </si>
  <si>
    <t>101,619</t>
  </si>
  <si>
    <t>98,895</t>
  </si>
  <si>
    <t>96,067</t>
  </si>
  <si>
    <t>93,343</t>
  </si>
  <si>
    <t>91,667</t>
  </si>
  <si>
    <t>88,943</t>
  </si>
  <si>
    <t>86,219</t>
  </si>
  <si>
    <t>83,495</t>
  </si>
  <si>
    <t>80,772</t>
  </si>
  <si>
    <t>79,200</t>
  </si>
  <si>
    <t>76,476</t>
  </si>
  <si>
    <t>73,752</t>
  </si>
  <si>
    <t>71,029</t>
  </si>
  <si>
    <t>68,305</t>
  </si>
  <si>
    <t>62,857</t>
  </si>
  <si>
    <t>Marginal Abatement Cost Curve (MACC) by Technology</t>
  </si>
  <si>
    <t>MACC Formula:</t>
  </si>
  <si>
    <t>MACC ($/tCO2) = [CAPEX_Ann + OPEX_Ann + Fuel_Cost_Diff] / Abatement_Potential</t>
  </si>
  <si>
    <t>MACC Summary (2030)</t>
  </si>
  <si>
    <t>Abatement (Mt)</t>
  </si>
  <si>
    <t>CAPEX ($/tCO2)</t>
  </si>
  <si>
    <t>OPEX ($/tCO2)</t>
  </si>
  <si>
    <t>Fuel Cost ($/tCO2)</t>
  </si>
  <si>
    <t>Total MACC ($/tCO2)</t>
  </si>
  <si>
    <t>Heat_Pump</t>
  </si>
  <si>
    <t>RE_PPA</t>
  </si>
  <si>
    <t>MACC Summary (2050)</t>
  </si>
  <si>
    <t>Net Zero Transition Pathway: Optimization Results</t>
  </si>
  <si>
    <t>Scenario: Cost-Effective Technology Deployment to Net Zero by 2050</t>
  </si>
  <si>
    <t>Key Milestones</t>
  </si>
  <si>
    <t>BAU (Mt)</t>
  </si>
  <si>
    <t>Heat Pump (Mt)</t>
  </si>
  <si>
    <t>NCC-Elec (Mt)</t>
  </si>
  <si>
    <t>RE PPA (Mt)</t>
  </si>
  <si>
    <t>Total Abated (Mt)</t>
  </si>
  <si>
    <t>Actual Emissions (Mt)</t>
  </si>
  <si>
    <t>Cumulative CAPEX ($M)</t>
  </si>
  <si>
    <t>0</t>
  </si>
  <si>
    <t>264</t>
  </si>
  <si>
    <t>4,215</t>
  </si>
  <si>
    <t>13,034</t>
  </si>
  <si>
    <t>20,962</t>
  </si>
  <si>
    <t>Energy Demand Analysis</t>
  </si>
  <si>
    <t>1. Electricity Demand Trajectory</t>
  </si>
  <si>
    <t>Baseline Elec (TWh)</t>
  </si>
  <si>
    <t>New Elec from Tech (TWh)</t>
  </si>
  <si>
    <t>Total Elec (TWh)</t>
  </si>
  <si>
    <t>2. Policy Context</t>
  </si>
  <si>
    <t>Korea 2036 RE Target</t>
  </si>
  <si>
    <t>97 TWh</t>
  </si>
  <si>
    <t>10th Basic Plan for Electricity</t>
  </si>
  <si>
    <t>Korea 2050 H2 Target</t>
  </si>
  <si>
    <t>27.3 Mt</t>
  </si>
  <si>
    <t>Hydrogen Economy Roadmap</t>
  </si>
  <si>
    <t>Model 2050 Elec Demand</t>
  </si>
  <si>
    <t>157 TWh</t>
  </si>
  <si>
    <t>NCC-Electricity scenario</t>
  </si>
  <si>
    <t>Investment and Cost Analysis</t>
  </si>
  <si>
    <t>1. Total Investment Summary</t>
  </si>
  <si>
    <t>Total CAPEX (2025-2050)</t>
  </si>
  <si>
    <t>Average Annual Investment</t>
  </si>
  <si>
    <t>$0.81 Billion/year</t>
  </si>
  <si>
    <t>Peak Investment Period</t>
  </si>
  <si>
    <t>2035-2040</t>
  </si>
  <si>
    <t>2. Annual CAPEX Trajectory</t>
  </si>
  <si>
    <t>Annual CAPEX ($M)</t>
  </si>
  <si>
    <t>989</t>
  </si>
  <si>
    <t>1,253</t>
  </si>
  <si>
    <t>988</t>
  </si>
  <si>
    <t>2,241</t>
  </si>
  <si>
    <t>3,229</t>
  </si>
  <si>
    <t>985</t>
  </si>
  <si>
    <t>1,611</t>
  </si>
  <si>
    <t>5,825</t>
  </si>
  <si>
    <t>1,870</t>
  </si>
  <si>
    <t>7,695</t>
  </si>
  <si>
    <t>1,824</t>
  </si>
  <si>
    <t>9,520</t>
  </si>
  <si>
    <t>1,780</t>
  </si>
  <si>
    <t>11,300</t>
  </si>
  <si>
    <t>1,734</t>
  </si>
  <si>
    <t>1,675</t>
  </si>
  <si>
    <t>14,709</t>
  </si>
  <si>
    <t>1,630</t>
  </si>
  <si>
    <t>16,340</t>
  </si>
  <si>
    <t>1,586</t>
  </si>
  <si>
    <t>17,925</t>
  </si>
  <si>
    <t>1,541</t>
  </si>
  <si>
    <t>19,466</t>
  </si>
  <si>
    <t>1,496</t>
  </si>
  <si>
    <t>References and Data Sources</t>
  </si>
  <si>
    <t>Academic and Industry References</t>
  </si>
  <si>
    <t>Emission Factors</t>
  </si>
  <si>
    <t>IPCC (2019)</t>
  </si>
  <si>
    <t>2019 Refinement to the 2006 IPCC Guidelines</t>
  </si>
  <si>
    <t>API (2021)</t>
  </si>
  <si>
    <t>Compendium of Greenhouse Gas Emissions Methodologies</t>
  </si>
  <si>
    <t>Technology - NCC Electric</t>
  </si>
  <si>
    <t>BASF/SABIC/Linde (2024)</t>
  </si>
  <si>
    <t>Commercial pilot plant data</t>
  </si>
  <si>
    <t>Toribio-Ramirez et al. (2025)</t>
  </si>
  <si>
    <t>Electric cracker CAPEX analysis</t>
  </si>
  <si>
    <t>Technology - NCC H2</t>
  </si>
  <si>
    <t>Lummus Tech (2023)</t>
  </si>
  <si>
    <t>Engineering case study for hydrogen cracker</t>
  </si>
  <si>
    <t>Thunder Said Energy (2023)</t>
  </si>
  <si>
    <t>Hydrogen cracker economics</t>
  </si>
  <si>
    <t>Technology - Heat Pump</t>
  </si>
  <si>
    <t>Kosmadakis et al. (2020)</t>
  </si>
  <si>
    <t>Heat pump for industrial processes</t>
  </si>
  <si>
    <t>McKinsey (2024)</t>
  </si>
  <si>
    <t>Industrial heat pump cost analysis</t>
  </si>
  <si>
    <t>Grid &amp; Policy</t>
  </si>
  <si>
    <t>Korea 10th Basic Plan (2023)</t>
  </si>
  <si>
    <t>Electricity Supply and Demand Plan</t>
  </si>
  <si>
    <t>Korea NDC (2024)</t>
  </si>
  <si>
    <t>2035 target: 24.5% reduction vs 2018</t>
  </si>
  <si>
    <t>KPIA (2023)</t>
  </si>
  <si>
    <t>Petrochemical Industry Association database</t>
  </si>
  <si>
    <t>Regional Analysis: Korea Petrochemical Complexes (Annual Breakdown)</t>
  </si>
  <si>
    <t>Includes annual investment and energy demand allocation by region</t>
  </si>
  <si>
    <t>1. Regional Capacity and Emissions Summary (2025)</t>
  </si>
  <si>
    <t>Region</t>
  </si>
  <si>
    <t>Facilities</t>
  </si>
  <si>
    <t>Emissions (Mt)</t>
  </si>
  <si>
    <t>Est. Investment ($B)</t>
  </si>
  <si>
    <t>42,321</t>
  </si>
  <si>
    <t>32.9%</t>
  </si>
  <si>
    <t>$12.51</t>
  </si>
  <si>
    <t>26.2%</t>
  </si>
  <si>
    <t>$3.55</t>
  </si>
  <si>
    <t>20.5%</t>
  </si>
  <si>
    <t>$3.76</t>
  </si>
  <si>
    <t>17.3%</t>
  </si>
  <si>
    <t>$1.08</t>
  </si>
  <si>
    <t>1.6%</t>
  </si>
  <si>
    <t>$0.04</t>
  </si>
  <si>
    <t>$0.00</t>
  </si>
  <si>
    <t>$0.02</t>
  </si>
  <si>
    <t>0.1%</t>
  </si>
  <si>
    <t>Jinhae</t>
  </si>
  <si>
    <t>100</t>
  </si>
  <si>
    <t>Pohang</t>
  </si>
  <si>
    <t>Gumi</t>
  </si>
  <si>
    <t>52</t>
  </si>
  <si>
    <t>0.0%</t>
  </si>
  <si>
    <t>Gimcheon</t>
  </si>
  <si>
    <t>2. Annual Regional Investment Allocation (2025-2050)</t>
  </si>
  <si>
    <t>Investment allocated proportionally to regional emission share</t>
  </si>
  <si>
    <t>Total CAPEX ($M)</t>
  </si>
  <si>
    <t>Yeosu ($M)</t>
  </si>
  <si>
    <t>Daesan ($M)</t>
  </si>
  <si>
    <t>Ulsan ($M)</t>
  </si>
  <si>
    <t>Onsan ($M)</t>
  </si>
  <si>
    <t>Others ($M)</t>
  </si>
  <si>
    <t>69</t>
  </si>
  <si>
    <t>54</t>
  </si>
  <si>
    <t>46</t>
  </si>
  <si>
    <t>87</t>
  </si>
  <si>
    <t>259</t>
  </si>
  <si>
    <t>203</t>
  </si>
  <si>
    <t>171</t>
  </si>
  <si>
    <t>326</t>
  </si>
  <si>
    <t>31</t>
  </si>
  <si>
    <t>202</t>
  </si>
  <si>
    <t>325</t>
  </si>
  <si>
    <t>258</t>
  </si>
  <si>
    <t>170</t>
  </si>
  <si>
    <t>422</t>
  </si>
  <si>
    <t>278</t>
  </si>
  <si>
    <t>531</t>
  </si>
  <si>
    <t>50</t>
  </si>
  <si>
    <t>490</t>
  </si>
  <si>
    <t>383</t>
  </si>
  <si>
    <t>323</t>
  </si>
  <si>
    <t>616</t>
  </si>
  <si>
    <t>58</t>
  </si>
  <si>
    <t>478</t>
  </si>
  <si>
    <t>374</t>
  </si>
  <si>
    <t>315</t>
  </si>
  <si>
    <t>601</t>
  </si>
  <si>
    <t>57</t>
  </si>
  <si>
    <t>466</t>
  </si>
  <si>
    <t>365</t>
  </si>
  <si>
    <t>307</t>
  </si>
  <si>
    <t>586</t>
  </si>
  <si>
    <t>55</t>
  </si>
  <si>
    <t>454</t>
  </si>
  <si>
    <t>355</t>
  </si>
  <si>
    <t>299</t>
  </si>
  <si>
    <t>571</t>
  </si>
  <si>
    <t>439</t>
  </si>
  <si>
    <t>343</t>
  </si>
  <si>
    <t>289</t>
  </si>
  <si>
    <t>552</t>
  </si>
  <si>
    <t>427</t>
  </si>
  <si>
    <t>334</t>
  </si>
  <si>
    <t>282</t>
  </si>
  <si>
    <t>537</t>
  </si>
  <si>
    <t>51</t>
  </si>
  <si>
    <t>415</t>
  </si>
  <si>
    <t>274</t>
  </si>
  <si>
    <t>522</t>
  </si>
  <si>
    <t>49</t>
  </si>
  <si>
    <t>403</t>
  </si>
  <si>
    <t>316</t>
  </si>
  <si>
    <t>266</t>
  </si>
  <si>
    <t>508</t>
  </si>
  <si>
    <t>48</t>
  </si>
  <si>
    <t>392</t>
  </si>
  <si>
    <t>493</t>
  </si>
  <si>
    <t>3. Annual Regional Electricity Demand (2025-2050)</t>
  </si>
  <si>
    <t>New electricity demand from NCC-Electricity deployment, allocated by NCC capacity share</t>
  </si>
  <si>
    <t>Yeosu (TWh)</t>
  </si>
  <si>
    <t>Daesan (TWh)</t>
  </si>
  <si>
    <t>Ulsan (TWh)</t>
  </si>
  <si>
    <t>Onsan (TWh)</t>
  </si>
  <si>
    <t>Others (TWh)</t>
  </si>
  <si>
    <t>4. NCC (Naphtha Cracker) Capacity by Region</t>
  </si>
  <si>
    <t>NCC Capacity (kt)</t>
  </si>
  <si>
    <t>2050 Est. Elec Demand (TWh)</t>
  </si>
  <si>
    <t>7,192</t>
  </si>
  <si>
    <t>16.6%</t>
  </si>
  <si>
    <t>26.0</t>
  </si>
  <si>
    <t>7,543</t>
  </si>
  <si>
    <t>17.4%</t>
  </si>
  <si>
    <t>27.3</t>
  </si>
  <si>
    <t>1,856</t>
  </si>
  <si>
    <t>4.3%</t>
  </si>
  <si>
    <t>6.7</t>
  </si>
  <si>
    <t>26,852</t>
  </si>
  <si>
    <t>61.8%</t>
  </si>
  <si>
    <t>97.1</t>
  </si>
  <si>
    <t>Operating Rate Analysis and Model Assumptions</t>
  </si>
  <si>
    <t>1. Operating Rate Definition</t>
  </si>
  <si>
    <t>Parameter</t>
  </si>
  <si>
    <t>Definition</t>
  </si>
  <si>
    <t>Actual production / Installed capacity</t>
  </si>
  <si>
    <t>Capacity Multiplier</t>
  </si>
  <si>
    <t>Installed capacity growth from 2025 baseline</t>
  </si>
  <si>
    <t>1.0 -&gt; 1.288</t>
  </si>
  <si>
    <t>Effective Multiplier</t>
  </si>
  <si>
    <t>Capacity Multiplier x Operating Rate</t>
  </si>
  <si>
    <t>Production scaling factor</t>
  </si>
  <si>
    <t>2. How Operating Rate is Used in the Model</t>
  </si>
  <si>
    <t>Effective_Multiplier = Capacity_Multiplier x Operating_Rate</t>
  </si>
  <si>
    <t>Actual_Emissions = Baseline_Emissions x Effective_Multiplier</t>
  </si>
  <si>
    <t>3. Impact of Operating Rate on Results</t>
  </si>
  <si>
    <t>Metric</t>
  </si>
  <si>
    <t>100% Operating Rate</t>
  </si>
  <si>
    <t>70% Operating Rate (Model)</t>
  </si>
  <si>
    <t>Baseline Emissions (2025)</t>
  </si>
  <si>
    <t>At 100% op rate: 66.2 MtCO2</t>
  </si>
  <si>
    <t>At 70% op rate: 46.3 MtCO2</t>
  </si>
  <si>
    <t>At 100% op rate: ~76 MtCO2</t>
  </si>
  <si>
    <t>At 70% op rate: 53.3 MtCO2</t>
  </si>
  <si>
    <t>Total Investment Need</t>
  </si>
  <si>
    <t>At 100% op rate: ~$53B</t>
  </si>
  <si>
    <t>At 70% op rate: $37.3B</t>
  </si>
  <si>
    <t>4. Rationale for 70% Operating Rate</t>
  </si>
  <si>
    <t>- Korean petrochemical industry experienced significant overcapacity crisis in 2023-2024</t>
  </si>
  <si>
    <t>- Chinese petrochemical expansion led to global supply glut</t>
  </si>
  <si>
    <t>- KPIA data shows actual operating rates dropped to 65-75% in 2023</t>
  </si>
  <si>
    <t>- 70% represents conservative assumption for 2025-2050 period</t>
  </si>
  <si>
    <t>NCC-H2 Reference Scenario: Hydrogen-based Naphtha Cracking</t>
  </si>
  <si>
    <t>Alternative to NCC-Electricity using green hydrogen as fuel</t>
  </si>
  <si>
    <t>1. NCC-Electricity vs NCC-H2 Comparison</t>
  </si>
  <si>
    <t>Energy Input</t>
  </si>
  <si>
    <t>0.2 ton H2/ton C2H4</t>
  </si>
  <si>
    <t>TRL (2024)</t>
  </si>
  <si>
    <t>8 (Pilot)</t>
  </si>
  <si>
    <t>7 (Demo)</t>
  </si>
  <si>
    <t>Available Year</t>
  </si>
  <si>
    <t>CAPEX 2025</t>
  </si>
  <si>
    <t>CAPEX 2050</t>
  </si>
  <si>
    <t>Infrastructure Need</t>
  </si>
  <si>
    <t>Grid expansion (231 TWh)</t>
  </si>
  <si>
    <t>H2 supply (1.7 Mt/yr)</t>
  </si>
  <si>
    <t>Key Advantage</t>
  </si>
  <si>
    <t>Uses existing grid</t>
  </si>
  <si>
    <t>Lower long-term cost</t>
  </si>
  <si>
    <t>Key Challenge</t>
  </si>
  <si>
    <t>Massive electricity demand</t>
  </si>
  <si>
    <t>H2 supply chain needed</t>
  </si>
  <si>
    <t>2. Cost Comparison (2050)</t>
  </si>
  <si>
    <t>MACC ($/tCO2)</t>
  </si>
  <si>
    <t>$134</t>
  </si>
  <si>
    <t>$265</t>
  </si>
  <si>
    <t>Electricity Demand (TWh)</t>
  </si>
  <si>
    <t>231</t>
  </si>
  <si>
    <t>42</t>
  </si>
  <si>
    <t>H2 Demand (Mt)</t>
  </si>
  <si>
    <t>1.7</t>
  </si>
  <si>
    <t>Grid Expansion Requirement</t>
  </si>
  <si>
    <t>~40% of Korea's 2024 generation</t>
  </si>
  <si>
    <t>Minimal</t>
  </si>
  <si>
    <t>3. Why Model Selects NCC-Electricity Over NCC-H2</t>
  </si>
  <si>
    <t>1. Lower MACC at current H2 prices ($4-6/kg in 2030-2040)</t>
  </si>
  <si>
    <t>2. Grid infrastructure already exists (expansion needed but less risky)</t>
  </si>
  <si>
    <t>3. No dependency on green H2 supply chain development</t>
  </si>
  <si>
    <t>4. Electricity prices are more stable and predictable than H2 prices</t>
  </si>
  <si>
    <t>5. Model assumes unlimited grid capacity (not a binding constraint)</t>
  </si>
  <si>
    <t>4. 6 Scenario Comparison Results (2050)</t>
  </si>
  <si>
    <t>Scenario</t>
  </si>
  <si>
    <t>Tech</t>
  </si>
  <si>
    <t>Net (Mt)</t>
  </si>
  <si>
    <t>Cost ($B)</t>
  </si>
  <si>
    <t>Elec (TWh)</t>
  </si>
  <si>
    <t>H2 (kt)</t>
  </si>
  <si>
    <t>Shaheen (성장)</t>
  </si>
  <si>
    <t>$15.1</t>
  </si>
  <si>
    <t>1,179</t>
  </si>
  <si>
    <t>$14.4</t>
  </si>
  <si>
    <t>구조조정 25%</t>
  </si>
  <si>
    <t>$12.0</t>
  </si>
  <si>
    <t>1,049</t>
  </si>
  <si>
    <t>$11.0</t>
  </si>
  <si>
    <t>구조조정 40%</t>
  </si>
  <si>
    <t>$10.3</t>
  </si>
  <si>
    <t>895</t>
  </si>
  <si>
    <t>$9.4</t>
  </si>
  <si>
    <t>6 Scenario Comparison: Production Pathways x Technology Pathways</t>
  </si>
  <si>
    <t>3 Production scenarios (Shaheen/25% Restructuring/40% Restructuring) x 2 Technology pathways (NCC-Elec/NCC-H2)</t>
  </si>
  <si>
    <t>1. Scenario Definitions</t>
  </si>
  <si>
    <t>A. Production Pathways:</t>
  </si>
  <si>
    <t xml:space="preserve">  - Shaheen (성장): S-Oil Shaheen project adds 6 NEW facilities (254 total), +3,950 kt capacity, 44 NCC</t>
  </si>
  <si>
    <t xml:space="preserve">  - 구조조정 25%: Retire oldest 9 NCC facilities (239 total), 6,774 kt NCC capacity retired, 32 NCC</t>
  </si>
  <si>
    <t xml:space="preserve">  - 구조조정 40%: Retire oldest 16 NCC facilities (232 total), 10,854 kt NCC capacity retired, 25 NCC</t>
  </si>
  <si>
    <t>B. Technology Pathways:</t>
  </si>
  <si>
    <t xml:space="preserve">  - NCC-Electricity: Electric cracker using renewable electricity (5.0 MWh/ton C2H4)</t>
  </si>
  <si>
    <t xml:space="preserve">  - NCC-H2: Hydrogen-fueled cracker (0.2 ton H2/ton C2H4)</t>
  </si>
  <si>
    <t>2. 2050 Results Comparison</t>
  </si>
  <si>
    <t>NCC</t>
  </si>
  <si>
    <t>3. Retired NCC Facilities (Restructuring Scenarios)</t>
  </si>
  <si>
    <t>구조조정 25% - Retired 9 NCC facilities:</t>
  </si>
  <si>
    <t xml:space="preserve">  - SK Geocentric C-H (Ulsan): 160 kt, built 1974</t>
  </si>
  <si>
    <t xml:space="preserve">  - Kumho Petrochemical Butadiene (Ulsan): 90 kt, built 1979</t>
  </si>
  <si>
    <t xml:space="preserve">  - Yeochon NCC Ethylene (Yeosu): 2,285 kt, built 1979</t>
  </si>
  <si>
    <t xml:space="preserve">  - Yeochon NCC Propylene (Yeosu): 1,289 kt, built 1979</t>
  </si>
  <si>
    <t xml:space="preserve">  - SK Geocentric Butadiene (Ulsan): 130 kt, built 1989</t>
  </si>
  <si>
    <t xml:space="preserve">  - SK Geocentric Ethylene (Ulsan): 660 kt, built 1989</t>
  </si>
  <si>
    <t xml:space="preserve">  - SK Geocentric Propylene (Ulsan): 380 kt, built 1989</t>
  </si>
  <si>
    <t xml:space="preserve">  - Lotte Chemical Ethylene (Daesan): 1,100 kt, built 1991</t>
  </si>
  <si>
    <t xml:space="preserve">  - LG Chem Propylene (Daesan): 680 kt, built 1991</t>
  </si>
  <si>
    <t>구조조정 40% - Additional 7 NCC facilities retired:</t>
  </si>
  <si>
    <t xml:space="preserve">  - LG Chem Butadiene (Yeosu): 306 kt, built 1991</t>
  </si>
  <si>
    <t xml:space="preserve">  - Hanwha TotalEnergies Butadiene (Daesan): 150 kt, built 1991</t>
  </si>
  <si>
    <t xml:space="preserve">  - LG Chem Butadiene (Daesan): 200 kt, built 1991</t>
  </si>
  <si>
    <t xml:space="preserve">  - Hyosung Chemical Propylene (Ulsan): 500 kt, built 1991</t>
  </si>
  <si>
    <t xml:space="preserve">  - Hanwha TotalEnergies Propylene (Daesan): 1,064 kt, built 1991</t>
  </si>
  <si>
    <t xml:space="preserve">  - Daehan Oil Chemical Propylene (Onsan): 560 kt, built 1991</t>
  </si>
  <si>
    <t xml:space="preserve">  - LG Chem Ethylene (Daesan): 1,300 kt, built 1991</t>
  </si>
  <si>
    <t>4. Key Insights</t>
  </si>
  <si>
    <t>1. 구조조정 40% + NCC-Electricity achieves near Net Zero at lowest cost ($34.1B)</t>
  </si>
  <si>
    <t>2. Shaheen (growth) scenarios require highest investment ($58.9-64.7B) but maintain production</t>
  </si>
  <si>
    <t>3. NCC-H2 scenarios are ~10% cheaper than NCC-Electricity but require H2 infrastructure</t>
  </si>
  <si>
    <t>4. Restructuring reduces BAU emissions significantly: 25% saves 19.7 Mt, 40% saves 28.0 Mt</t>
  </si>
  <si>
    <t>5. All scenarios achieve &lt;4 Mt net emissions by 2050 through technology deployment</t>
  </si>
  <si>
    <t>4. Regional Annual Investment Trajectory ($ Million)</t>
  </si>
  <si>
    <t>5. Regional Annual Electricity Demand (TWh)</t>
  </si>
  <si>
    <t>2035 Emission Target Analysis: NDC Compliance</t>
  </si>
  <si>
    <t>Korea's 2035 industrial emission target relative to 2018 baseline</t>
  </si>
  <si>
    <t>1. 2035 Target Definition</t>
  </si>
  <si>
    <t>Notes</t>
  </si>
  <si>
    <t>2018 Baseline Emissions</t>
  </si>
  <si>
    <t>57.6 MtCO2</t>
  </si>
  <si>
    <t>Reference year for NDC calculation</t>
  </si>
  <si>
    <t>2035 Reduction Target</t>
  </si>
  <si>
    <t>24.5%</t>
  </si>
  <si>
    <t>Korea NDC submission (2024)</t>
  </si>
  <si>
    <t>2035 Emission Target</t>
  </si>
  <si>
    <t>43.5 MtCO2</t>
  </si>
  <si>
    <t>57.6 x (1 - 0.245) = 43.5</t>
  </si>
  <si>
    <t>Korea NDC</t>
  </si>
  <si>
    <t>National Determined Contribution</t>
  </si>
  <si>
    <t>2. Model Results vs 2035 Target</t>
  </si>
  <si>
    <t>2035 Emissions (Mt)</t>
  </si>
  <si>
    <t>vs Target</t>
  </si>
  <si>
    <t>Status</t>
  </si>
  <si>
    <t>2035 Target (NDC)</t>
  </si>
  <si>
    <t>Target</t>
  </si>
  <si>
    <t>BAU (No Action)</t>
  </si>
  <si>
    <t>+7.0 Mt</t>
  </si>
  <si>
    <t>FAIL</t>
  </si>
  <si>
    <t>Cost-Effective (Model)</t>
  </si>
  <si>
    <t>-0.0 Mt</t>
  </si>
  <si>
    <t>PASS</t>
  </si>
  <si>
    <t>3. Annual Trajectory to 2035</t>
  </si>
  <si>
    <t>Target (Mt)</t>
  </si>
  <si>
    <t>Model (Mt)</t>
  </si>
  <si>
    <t>Gap vs Target</t>
  </si>
  <si>
    <t>+19.9</t>
  </si>
  <si>
    <t>+16.0</t>
  </si>
  <si>
    <t>+13.1</t>
  </si>
  <si>
    <t>4. Key Finding</t>
  </si>
  <si>
    <t>The model's cost-effective scenario EXCEEDS the 2035 NDC target:</t>
  </si>
  <si>
    <t xml:space="preserve">  - Model 2035 emissions: 43.5 Mt</t>
  </si>
  <si>
    <t xml:space="preserve">  - NDC 2035 target: 43.5 Mt</t>
  </si>
  <si>
    <t xml:space="preserve">  - Margin: 0.0 Mt below target</t>
  </si>
  <si>
    <t>Note: The 70% operating rate assumption means current actual emissions (46.3 Mt in 2025)</t>
  </si>
  <si>
    <t>are already below the 2018 baseline (57.6 Mt), giving a head start toward the 2035 target.</t>
  </si>
  <si>
    <t>Learning Curve Sensitivity Analysis</t>
  </si>
  <si>
    <t>Impact of technology cost reduction on total CAPEX investment</t>
  </si>
  <si>
    <t>1. CAPEX Learning Curve Assumptions</t>
  </si>
  <si>
    <t>2025 CAPEX</t>
  </si>
  <si>
    <t>2030 CAPEX</t>
  </si>
  <si>
    <t>2040 CAPEX</t>
  </si>
  <si>
    <t>2050 CAPEX</t>
  </si>
  <si>
    <t>Reduction</t>
  </si>
  <si>
    <t>$800</t>
  </si>
  <si>
    <t>$680</t>
  </si>
  <si>
    <t>$520</t>
  </si>
  <si>
    <t>$400</t>
  </si>
  <si>
    <t>-50%</t>
  </si>
  <si>
    <t>$1,700</t>
  </si>
  <si>
    <t>$1,445</t>
  </si>
  <si>
    <t>$1,105</t>
  </si>
  <si>
    <t>$850</t>
  </si>
  <si>
    <t>$1,500</t>
  </si>
  <si>
    <t>$1,275</t>
  </si>
  <si>
    <t>$975</t>
  </si>
  <si>
    <t>$750</t>
  </si>
  <si>
    <t>$900</t>
  </si>
  <si>
    <t>$765</t>
  </si>
  <si>
    <t>$585</t>
  </si>
  <si>
    <t>$450</t>
  </si>
  <si>
    <t>2. Cost Impact: With vs Without Learning Curve</t>
  </si>
  <si>
    <t>With Learning ($B)</t>
  </si>
  <si>
    <t>No Learning ($B)</t>
  </si>
  <si>
    <t>Increase ($B)</t>
  </si>
  <si>
    <t>Increase (%)</t>
  </si>
  <si>
    <t>Shaheen (성장) + NCC-H2</t>
  </si>
  <si>
    <t>$31.4</t>
  </si>
  <si>
    <t>$75.4</t>
  </si>
  <si>
    <t>+$44.0</t>
  </si>
  <si>
    <t>+140%</t>
  </si>
  <si>
    <t>Shaheen (성장) + NCC-Electricity</t>
  </si>
  <si>
    <t>$33.3</t>
  </si>
  <si>
    <t>$67.1</t>
  </si>
  <si>
    <t>+$33.8</t>
  </si>
  <si>
    <t>+102%</t>
  </si>
  <si>
    <t>구조조정 25% + NCC-H2</t>
  </si>
  <si>
    <t>$46.6</t>
  </si>
  <si>
    <t>+$31.5</t>
  </si>
  <si>
    <t>+209%</t>
  </si>
  <si>
    <t>구조조정 25% + NCC-Electricity</t>
  </si>
  <si>
    <t>$16.7</t>
  </si>
  <si>
    <t>$42.1</t>
  </si>
  <si>
    <t>+$25.4</t>
  </si>
  <si>
    <t>+151%</t>
  </si>
  <si>
    <t>구조조정 40% + NCC-H2</t>
  </si>
  <si>
    <t>$13.0</t>
  </si>
  <si>
    <t>$38.9</t>
  </si>
  <si>
    <t>+$25.9</t>
  </si>
  <si>
    <t>+199%</t>
  </si>
  <si>
    <t>구조조정 40% + NCC-Electricity</t>
  </si>
  <si>
    <t>$14.5</t>
  </si>
  <si>
    <t>$35.3</t>
  </si>
  <si>
    <t>+$20.8</t>
  </si>
  <si>
    <t>+143%</t>
  </si>
  <si>
    <t>3. Key Insights</t>
  </si>
  <si>
    <t>1. Learning curves reduce total CAPEX by 50-68% across all scenarios</t>
  </si>
  <si>
    <t>2. Without learning curves, the transition would cost 2-3x more</t>
  </si>
  <si>
    <t>3. NCC-H2 is most sensitive to learning curve (54% CAPEX reduction by 2050)</t>
  </si>
  <si>
    <t>4. NCC-Electricity learning curve (40% reduction) is more conservative</t>
  </si>
  <si>
    <t>5. Learning curves are critical for economic feasibility of net zero transition</t>
  </si>
  <si>
    <t>4. Policy Implications</t>
  </si>
  <si>
    <t>- If learning curves don't materialize, investment needs increase by $20-44B</t>
  </si>
  <si>
    <t>- R&amp;D support and technology deployment scale-up are critical for cost reduction</t>
  </si>
  <si>
    <t>- Early deployment creates learning-by-doing benefits for later investments</t>
  </si>
  <si>
    <t>- Without cost reduction, some scenarios may become economically infeasible</t>
  </si>
  <si>
    <t>Facility-Level Technology Transition Details</t>
  </si>
  <si>
    <t>Annual deployment schedule by facility, process, and region</t>
  </si>
  <si>
    <t>1. Facility Summary by Process Type</t>
  </si>
  <si>
    <t>Process</t>
  </si>
  <si>
    <t>Primary Technology</t>
  </si>
  <si>
    <t>BTX Plant</t>
  </si>
  <si>
    <t>26,594</t>
  </si>
  <si>
    <t>25.4%</t>
  </si>
  <si>
    <t>Heat Pump + RDH</t>
  </si>
  <si>
    <t>Naphtha Cracker</t>
  </si>
  <si>
    <t>26,823</t>
  </si>
  <si>
    <t>25.6%</t>
  </si>
  <si>
    <t>NCC-Electricity / NCC-H2</t>
  </si>
  <si>
    <t>Utility</t>
  </si>
  <si>
    <t>51,345</t>
  </si>
  <si>
    <t>49.0%</t>
  </si>
  <si>
    <t>Heat Pump + RE PPA</t>
  </si>
  <si>
    <t>2. Annual Technology Deployment Schedule</t>
  </si>
  <si>
    <t>Total Deployed (Mt)</t>
  </si>
  <si>
    <t>Remaining (Mt)</t>
  </si>
  <si>
    <t>3. Naphtha Cracker (NCC) Facility Transition Priority</t>
  </si>
  <si>
    <t>Sorted by capacity (largest first for maximum emission reduction impact)</t>
  </si>
  <si>
    <t>Rank</t>
  </si>
  <si>
    <t>Company</t>
  </si>
  <si>
    <t>Est. Deploy Year</t>
  </si>
  <si>
    <t>S-Oil Shaheen</t>
  </si>
  <si>
    <t>1,800</t>
  </si>
  <si>
    <t>Hanwha TotalEnergies</t>
  </si>
  <si>
    <t>1,525</t>
  </si>
  <si>
    <t>LG Chem</t>
  </si>
  <si>
    <t>1,300</t>
  </si>
  <si>
    <t>Lotte Chemical</t>
  </si>
  <si>
    <t>1,230</t>
  </si>
  <si>
    <t>1,064</t>
  </si>
  <si>
    <t>1,030</t>
  </si>
  <si>
    <t>GS Caltex</t>
  </si>
  <si>
    <t>970</t>
  </si>
  <si>
    <t>900</t>
  </si>
  <si>
    <t>Daehan Oil Chemical</t>
  </si>
  <si>
    <t>HD Hyundai Chemical</t>
  </si>
  <si>
    <t>850</t>
  </si>
  <si>
    <t>S-Oil</t>
  </si>
  <si>
    <t>840</t>
  </si>
  <si>
    <t>770</t>
  </si>
  <si>
    <t>680</t>
  </si>
  <si>
    <t>641</t>
  </si>
  <si>
    <t>SK Energy</t>
  </si>
  <si>
    <t>620</t>
  </si>
  <si>
    <t>SK Advanced</t>
  </si>
  <si>
    <t>600</t>
  </si>
  <si>
    <t>550</t>
  </si>
  <si>
    <t>451</t>
  </si>
  <si>
    <t>HDHyundai Oilbank</t>
  </si>
  <si>
    <t>420</t>
  </si>
  <si>
    <t>Yeochon NCC</t>
  </si>
  <si>
    <t>378</t>
  </si>
  <si>
    <t>306</t>
  </si>
  <si>
    <t>Taekwang Industrial</t>
  </si>
  <si>
    <t>300</t>
  </si>
  <si>
    <t>200</t>
  </si>
  <si>
    <t>Caprolactam</t>
  </si>
  <si>
    <t>C-H</t>
  </si>
  <si>
    <t>190</t>
  </si>
  <si>
    <t>182</t>
  </si>
  <si>
    <t>163</t>
  </si>
  <si>
    <t>160</t>
  </si>
  <si>
    <t>150</t>
  </si>
  <si>
    <t>Kumho Petrochemical</t>
  </si>
  <si>
    <t>147</t>
  </si>
  <si>
    <t>146</t>
  </si>
  <si>
    <t>Lotte GS Chemical</t>
  </si>
  <si>
    <t>130</t>
  </si>
  <si>
    <t>4. Regional Technology Deployment Timeline</t>
  </si>
  <si>
    <t>2035</t>
  </si>
  <si>
    <t>2040</t>
  </si>
  <si>
    <t>2045</t>
  </si>
  <si>
    <t>2050</t>
  </si>
  <si>
    <t>6%</t>
  </si>
  <si>
    <t>9%</t>
  </si>
  <si>
    <t>10%</t>
  </si>
  <si>
    <t>17%</t>
  </si>
  <si>
    <t>34%</t>
  </si>
  <si>
    <t>52%</t>
  </si>
  <si>
    <t>Complete Facility Database (248 Facilities)</t>
  </si>
  <si>
    <t>All Korean petrochemical facilities with capacity, age, and transition status</t>
  </si>
  <si>
    <t>ID</t>
  </si>
  <si>
    <t>Year Built</t>
  </si>
  <si>
    <t>Age (2025)</t>
  </si>
  <si>
    <t>Remaining Life</t>
  </si>
  <si>
    <t>Retirement (40yr)</t>
  </si>
  <si>
    <t>2,000</t>
  </si>
  <si>
    <t>1,900</t>
  </si>
  <si>
    <t>SK Geocentric</t>
  </si>
  <si>
    <t>1,506</t>
  </si>
  <si>
    <t>SK Incheon Petrochemical</t>
  </si>
  <si>
    <t>1,500</t>
  </si>
  <si>
    <t>1,460</t>
  </si>
  <si>
    <t>1,350</t>
  </si>
  <si>
    <t>1,267</t>
  </si>
  <si>
    <t>Ulsan Aromatics</t>
  </si>
  <si>
    <t>1,000</t>
  </si>
  <si>
    <t>930</t>
  </si>
  <si>
    <t>894</t>
  </si>
  <si>
    <t>830</t>
  </si>
  <si>
    <t>750</t>
  </si>
  <si>
    <t>672</t>
  </si>
  <si>
    <t>630</t>
  </si>
  <si>
    <t>603</t>
  </si>
  <si>
    <t>457</t>
  </si>
  <si>
    <t>450</t>
  </si>
  <si>
    <t>410</t>
  </si>
  <si>
    <t>M-X</t>
  </si>
  <si>
    <t>360</t>
  </si>
  <si>
    <t>350</t>
  </si>
  <si>
    <t>338</t>
  </si>
  <si>
    <t>280</t>
  </si>
  <si>
    <t>270</t>
  </si>
  <si>
    <t>240</t>
  </si>
  <si>
    <t>235</t>
  </si>
  <si>
    <t>220</t>
  </si>
  <si>
    <t>210</t>
  </si>
  <si>
    <t>O-X</t>
  </si>
  <si>
    <t>204</t>
  </si>
  <si>
    <t>OCI</t>
  </si>
  <si>
    <t>120</t>
  </si>
  <si>
    <t>112</t>
  </si>
  <si>
    <t>110</t>
  </si>
  <si>
    <t>79</t>
  </si>
  <si>
    <t>78</t>
  </si>
  <si>
    <t>60</t>
  </si>
  <si>
    <t>47</t>
  </si>
  <si>
    <t>40</t>
  </si>
  <si>
    <t>Hanwha Solutions</t>
  </si>
  <si>
    <t>Samnam Petrochemical</t>
  </si>
  <si>
    <t>Hanwha Impact</t>
  </si>
  <si>
    <t>1,117</t>
  </si>
  <si>
    <t>1,071</t>
  </si>
  <si>
    <t>NB-Latex</t>
  </si>
  <si>
    <t>946</t>
  </si>
  <si>
    <t>810</t>
  </si>
  <si>
    <t>757</t>
  </si>
  <si>
    <t>730</t>
  </si>
  <si>
    <t>EG</t>
  </si>
  <si>
    <t>VCM</t>
  </si>
  <si>
    <t>720</t>
  </si>
  <si>
    <t>Acetic Acid</t>
  </si>
  <si>
    <t>Lotte INEOS Chemical</t>
  </si>
  <si>
    <t>710</t>
  </si>
  <si>
    <t>700</t>
  </si>
  <si>
    <t>Phenol</t>
  </si>
  <si>
    <t>Kumho P&amp;B Chemical</t>
  </si>
  <si>
    <t>650</t>
  </si>
  <si>
    <t>DL Chemical</t>
  </si>
  <si>
    <t>MDI</t>
  </si>
  <si>
    <t>Kumho Mitsui Chemical</t>
  </si>
  <si>
    <t>610</t>
  </si>
  <si>
    <t>AN</t>
  </si>
  <si>
    <t>Dongseo Petrochemical</t>
  </si>
  <si>
    <t>602</t>
  </si>
  <si>
    <t>Ulsan PP</t>
  </si>
  <si>
    <t>583</t>
  </si>
  <si>
    <t>577</t>
  </si>
  <si>
    <t>575</t>
  </si>
  <si>
    <t>Epoxy Resin</t>
  </si>
  <si>
    <t>Kukdo Chemical</t>
  </si>
  <si>
    <t>500</t>
  </si>
  <si>
    <t>PC</t>
  </si>
  <si>
    <t>480</t>
  </si>
  <si>
    <t>PVC</t>
  </si>
  <si>
    <t>Vinyl Acetate</t>
  </si>
  <si>
    <t>460</t>
  </si>
  <si>
    <t>BPA</t>
  </si>
  <si>
    <t>435</t>
  </si>
  <si>
    <t>432</t>
  </si>
  <si>
    <t>425</t>
  </si>
  <si>
    <t>Hyosung Chemical</t>
  </si>
  <si>
    <t>Acetone</t>
  </si>
  <si>
    <t>Poly Mirae</t>
  </si>
  <si>
    <t>405</t>
  </si>
  <si>
    <t>SKpicglobal</t>
  </si>
  <si>
    <t>400</t>
  </si>
  <si>
    <t>385</t>
  </si>
  <si>
    <t>380</t>
  </si>
  <si>
    <t>351</t>
  </si>
  <si>
    <t>337</t>
  </si>
  <si>
    <t>EPDM</t>
  </si>
  <si>
    <t>Kumho Polychem</t>
  </si>
  <si>
    <t>310</t>
  </si>
  <si>
    <t>PPG</t>
  </si>
  <si>
    <t>KPX Chemical</t>
  </si>
  <si>
    <t>298</t>
  </si>
  <si>
    <t>290</t>
  </si>
  <si>
    <t>288</t>
  </si>
  <si>
    <t>Korea INEOS Styrolution</t>
  </si>
  <si>
    <t>276</t>
  </si>
  <si>
    <t>BR</t>
  </si>
  <si>
    <t>275</t>
  </si>
  <si>
    <t>CPLM</t>
  </si>
  <si>
    <t>PS</t>
  </si>
  <si>
    <t>265</t>
  </si>
  <si>
    <t>MMA</t>
  </si>
  <si>
    <t>LXMMA</t>
  </si>
  <si>
    <t>260</t>
  </si>
  <si>
    <t>BASF Korea</t>
  </si>
  <si>
    <t>250</t>
  </si>
  <si>
    <t>230</t>
  </si>
  <si>
    <t>225</t>
  </si>
  <si>
    <t>PU Core</t>
  </si>
  <si>
    <t>218</t>
  </si>
  <si>
    <t>PA</t>
  </si>
  <si>
    <t>Aekyung Chemical</t>
  </si>
  <si>
    <t>205</t>
  </si>
  <si>
    <t>Carbon Black(CB)</t>
  </si>
  <si>
    <t>Birla Carbon Korea</t>
  </si>
  <si>
    <t>193</t>
  </si>
  <si>
    <t>SBR</t>
  </si>
  <si>
    <t>183</t>
  </si>
  <si>
    <t>SSNC</t>
  </si>
  <si>
    <t>Alkylbenzene</t>
  </si>
  <si>
    <t>ISU Chemical</t>
  </si>
  <si>
    <t>Samyang Innochem</t>
  </si>
  <si>
    <t>Orion Engineered Carbons</t>
  </si>
  <si>
    <t>165</t>
  </si>
  <si>
    <t>DMT</t>
  </si>
  <si>
    <t>SK Chemical</t>
  </si>
  <si>
    <t>TDI</t>
  </si>
  <si>
    <t>Octanol</t>
  </si>
  <si>
    <t>152</t>
  </si>
  <si>
    <t>HDC Hyundai EP</t>
  </si>
  <si>
    <t>148</t>
  </si>
  <si>
    <t>HD Hyundai OCI</t>
  </si>
  <si>
    <t>136</t>
  </si>
  <si>
    <t>125</t>
  </si>
  <si>
    <t>S-SBR</t>
  </si>
  <si>
    <t>123</t>
  </si>
  <si>
    <t>Ethyl Acetate</t>
  </si>
  <si>
    <t>Korea Alcohol Industrial</t>
  </si>
  <si>
    <t>Samyang Chemical</t>
  </si>
  <si>
    <t>PMMA</t>
  </si>
  <si>
    <t>119</t>
  </si>
  <si>
    <t>Lotte MCC</t>
  </si>
  <si>
    <t>EPS</t>
  </si>
  <si>
    <t>SH Energy Chemical</t>
  </si>
  <si>
    <t>Lotte Versalis Elastomers</t>
  </si>
  <si>
    <t>Arkema</t>
  </si>
  <si>
    <t>97</t>
  </si>
  <si>
    <t>96</t>
  </si>
  <si>
    <t>NBR</t>
  </si>
  <si>
    <t>92</t>
  </si>
  <si>
    <t>90</t>
  </si>
  <si>
    <t>Petroleum Resin</t>
  </si>
  <si>
    <t>Kolon Industries</t>
  </si>
  <si>
    <t>86</t>
  </si>
  <si>
    <t>85</t>
  </si>
  <si>
    <t>SB-Latex</t>
  </si>
  <si>
    <t>80</t>
  </si>
  <si>
    <t>Ethanol</t>
  </si>
  <si>
    <t>70</t>
  </si>
  <si>
    <t>65</t>
  </si>
  <si>
    <t>Hansol Chemical</t>
  </si>
  <si>
    <t>Butanol</t>
  </si>
  <si>
    <t>Bluecube Chemical</t>
  </si>
  <si>
    <t>Korea Trinseo</t>
  </si>
  <si>
    <t>43</t>
  </si>
  <si>
    <t>MA</t>
  </si>
  <si>
    <t>Yongsan Chemical</t>
  </si>
  <si>
    <t>38</t>
  </si>
  <si>
    <t>Korea PTG</t>
  </si>
  <si>
    <t>30</t>
  </si>
  <si>
    <t>Downing Chemical</t>
  </si>
  <si>
    <t>28</t>
  </si>
  <si>
    <t>20</t>
  </si>
  <si>
    <t>12</t>
  </si>
  <si>
    <t>10</t>
  </si>
  <si>
    <t>PIA</t>
  </si>
  <si>
    <t>Annual Marginal Abatement Cost Curve (MACC) by Technology</t>
  </si>
  <si>
    <t>Technology costs and abatement potential from 2025-2050</t>
  </si>
  <si>
    <t>1. Technology Cost Evolution ($/tCO2)</t>
  </si>
  <si>
    <t>$354</t>
  </si>
  <si>
    <t>$329</t>
  </si>
  <si>
    <t>$321</t>
  </si>
  <si>
    <t>$283</t>
  </si>
  <si>
    <t>$280</t>
  </si>
  <si>
    <t>$277</t>
  </si>
  <si>
    <t>$279</t>
  </si>
  <si>
    <t>$238</t>
  </si>
  <si>
    <t>$207</t>
  </si>
  <si>
    <t>$178</t>
  </si>
  <si>
    <t>$155</t>
  </si>
  <si>
    <t>$499</t>
  </si>
  <si>
    <t>$428</t>
  </si>
  <si>
    <t>$365</t>
  </si>
  <si>
    <t>$312</t>
  </si>
  <si>
    <t>$421</t>
  </si>
  <si>
    <t>$360</t>
  </si>
  <si>
    <t>$310</t>
  </si>
  <si>
    <t>$266</t>
  </si>
  <si>
    <t>$229</t>
  </si>
  <si>
    <t>$197</t>
  </si>
  <si>
    <t>$-91</t>
  </si>
  <si>
    <t>$-209</t>
  </si>
  <si>
    <t>$-387</t>
  </si>
  <si>
    <t>$-1,269</t>
  </si>
  <si>
    <t>$-6,904</t>
  </si>
  <si>
    <t>$1,000,000,000</t>
  </si>
  <si>
    <t>2. Abatement Potential Evolution (MtCO2)</t>
  </si>
  <si>
    <t>1.4</t>
  </si>
  <si>
    <t>1.6</t>
  </si>
  <si>
    <t>1.8</t>
  </si>
  <si>
    <t>1.9</t>
  </si>
  <si>
    <t>54.7</t>
  </si>
  <si>
    <t>47.9</t>
  </si>
  <si>
    <t>41.4</t>
  </si>
  <si>
    <t>32.8</t>
  </si>
  <si>
    <t>2.1</t>
  </si>
  <si>
    <t>1.3</t>
  </si>
  <si>
    <t>10.2</t>
  </si>
  <si>
    <t>8.4</t>
  </si>
  <si>
    <t>3. Full Annual MACC Data (Selected Years)</t>
  </si>
  <si>
    <t>Year 2030:</t>
  </si>
  <si>
    <t>CAPEX ($/t)</t>
  </si>
  <si>
    <t>OPEX ($/t)</t>
  </si>
  <si>
    <t>Fuel Cost ($/t)</t>
  </si>
  <si>
    <t>Total ($/t)</t>
  </si>
  <si>
    <t>1.55</t>
  </si>
  <si>
    <t>$34</t>
  </si>
  <si>
    <t>$20</t>
  </si>
  <si>
    <t>$274</t>
  </si>
  <si>
    <t>47.89</t>
  </si>
  <si>
    <t>$58</t>
  </si>
  <si>
    <t>$383</t>
  </si>
  <si>
    <t>$51</t>
  </si>
  <si>
    <t>$136</t>
  </si>
  <si>
    <t>8.35</t>
  </si>
  <si>
    <t>$0</t>
  </si>
  <si>
    <t>1.87</t>
  </si>
  <si>
    <t>$31</t>
  </si>
  <si>
    <t>$23</t>
  </si>
  <si>
    <t>$307</t>
  </si>
  <si>
    <t>Year 2040:</t>
  </si>
  <si>
    <t>1.58</t>
  </si>
  <si>
    <t>$26</t>
  </si>
  <si>
    <t>$16</t>
  </si>
  <si>
    <t>$242</t>
  </si>
  <si>
    <t>32.84</t>
  </si>
  <si>
    <t>$44</t>
  </si>
  <si>
    <t>$39</t>
  </si>
  <si>
    <t>$100</t>
  </si>
  <si>
    <t>3.96</t>
  </si>
  <si>
    <t>1.28</t>
  </si>
  <si>
    <t>$18</t>
  </si>
  <si>
    <t>$225</t>
  </si>
  <si>
    <t>Year 2050:</t>
  </si>
  <si>
    <t>1.93</t>
  </si>
  <si>
    <t>$12</t>
  </si>
  <si>
    <t>$245</t>
  </si>
  <si>
    <t>$30</t>
  </si>
  <si>
    <t>$74</t>
  </si>
  <si>
    <t>0.00</t>
  </si>
  <si>
    <t>$14</t>
  </si>
  <si>
    <t>$165</t>
  </si>
  <si>
    <t>2050 Facility-Level Technology Allocation</t>
  </si>
  <si>
    <t>Final technology deployment status for each facility in 2050</t>
  </si>
  <si>
    <t>1. Technology Deployment Summary</t>
  </si>
  <si>
    <t>NCC-Electricity Deployed</t>
  </si>
  <si>
    <t>Heat Pump Deployed</t>
  </si>
  <si>
    <t>RE PPA Deployed</t>
  </si>
  <si>
    <t>Total Abatement (Mt)</t>
  </si>
  <si>
    <t>46.4</t>
  </si>
  <si>
    <t>2. Top 20 Largest Facilities (by Abatement)</t>
  </si>
  <si>
    <t>3.320</t>
  </si>
  <si>
    <t>2.916</t>
  </si>
  <si>
    <t>2.216</t>
  </si>
  <si>
    <t>1.931</t>
  </si>
  <si>
    <t>1.889</t>
  </si>
  <si>
    <t>1.787</t>
  </si>
  <si>
    <t>1.654</t>
  </si>
  <si>
    <t>1.640</t>
  </si>
  <si>
    <t>1.598</t>
  </si>
  <si>
    <t>1.497</t>
  </si>
  <si>
    <t>1.354</t>
  </si>
  <si>
    <t>1.308</t>
  </si>
  <si>
    <t>1.235</t>
  </si>
  <si>
    <t>1.234</t>
  </si>
  <si>
    <t>1.069</t>
  </si>
  <si>
    <t>0.972</t>
  </si>
  <si>
    <t>0.959</t>
  </si>
  <si>
    <t>0.865</t>
  </si>
  <si>
    <t>0.816</t>
  </si>
  <si>
    <t>3. Regional Allocation Summary</t>
  </si>
  <si>
    <t>17.53</t>
  </si>
  <si>
    <t>37.8%</t>
  </si>
  <si>
    <t>15.98</t>
  </si>
  <si>
    <t>34.5%</t>
  </si>
  <si>
    <t>7.76</t>
  </si>
  <si>
    <t>16.7%</t>
  </si>
  <si>
    <t>4.83</t>
  </si>
  <si>
    <t>10.4%</t>
  </si>
  <si>
    <t>0.18</t>
  </si>
  <si>
    <t>0.07</t>
  </si>
  <si>
    <t>진해</t>
  </si>
  <si>
    <t>Scenario: Shaheen + NCC-H2</t>
  </si>
  <si>
    <t>1. Scenario Summary</t>
  </si>
  <si>
    <t>NCC Facilities</t>
  </si>
  <si>
    <t>108,712</t>
  </si>
  <si>
    <t>29,593</t>
  </si>
  <si>
    <t>BAU Emissions 2050 (Mt)</t>
  </si>
  <si>
    <t>27.89</t>
  </si>
  <si>
    <t>Net Emissions 2050 (Mt)</t>
  </si>
  <si>
    <t>CAPEX ($B)</t>
  </si>
  <si>
    <t>2. NCC Facilities in Scenario</t>
  </si>
  <si>
    <t>#</t>
  </si>
  <si>
    <t>3. Annual Deployment Trajectory</t>
  </si>
  <si>
    <t>Deployed (Mt)</t>
  </si>
  <si>
    <t>Grid EF</t>
  </si>
  <si>
    <t>66.19</t>
  </si>
  <si>
    <t>0.436</t>
  </si>
  <si>
    <t>74.20</t>
  </si>
  <si>
    <t>14.46</t>
  </si>
  <si>
    <t>59.74</t>
  </si>
  <si>
    <t>0.349</t>
  </si>
  <si>
    <t>72.67</t>
  </si>
  <si>
    <t>24.92</t>
  </si>
  <si>
    <t>47.75</t>
  </si>
  <si>
    <t>0.280</t>
  </si>
  <si>
    <t>69.58</t>
  </si>
  <si>
    <t>41.31</t>
  </si>
  <si>
    <t>28.27</t>
  </si>
  <si>
    <t>0.140</t>
  </si>
  <si>
    <t>68.04</t>
  </si>
  <si>
    <t>54.27</t>
  </si>
  <si>
    <t>13.77</t>
  </si>
  <si>
    <t>0.070</t>
  </si>
  <si>
    <t>66.49</t>
  </si>
  <si>
    <t>0.000</t>
  </si>
  <si>
    <t>4. Top 20 Facilities by Emissions (2050)</t>
  </si>
  <si>
    <t>Emissions (kt)</t>
  </si>
  <si>
    <t>2,285</t>
  </si>
  <si>
    <t>4,932</t>
  </si>
  <si>
    <t>3,883</t>
  </si>
  <si>
    <t>3,292</t>
  </si>
  <si>
    <t>2,806</t>
  </si>
  <si>
    <t>2,655</t>
  </si>
  <si>
    <t>2,489</t>
  </si>
  <si>
    <t>1,289</t>
  </si>
  <si>
    <t>2,468</t>
  </si>
  <si>
    <t>1,100</t>
  </si>
  <si>
    <t>2,374</t>
  </si>
  <si>
    <t>2,223</t>
  </si>
  <si>
    <t>2,037</t>
  </si>
  <si>
    <t>1,943</t>
  </si>
  <si>
    <t>1,857</t>
  </si>
  <si>
    <t>1,835</t>
  </si>
  <si>
    <t>1,608</t>
  </si>
  <si>
    <t>1,473</t>
  </si>
  <si>
    <t>660</t>
  </si>
  <si>
    <t>1,425</t>
  </si>
  <si>
    <t>1,302</t>
  </si>
  <si>
    <t>1,227</t>
  </si>
  <si>
    <t>1,187</t>
  </si>
  <si>
    <t>Scenario: Shaheen + NCC-Elec</t>
  </si>
  <si>
    <t>Scenario: Restructure 25% + NCC-H2</t>
  </si>
  <si>
    <t>97,029</t>
  </si>
  <si>
    <t>19,090</t>
  </si>
  <si>
    <t>18.64</t>
  </si>
  <si>
    <t>44.59</t>
  </si>
  <si>
    <t>8.69</t>
  </si>
  <si>
    <t>35.90</t>
  </si>
  <si>
    <t>43.66</t>
  </si>
  <si>
    <t>14.97</t>
  </si>
  <si>
    <t>28.69</t>
  </si>
  <si>
    <t>41.81</t>
  </si>
  <si>
    <t>24.82</t>
  </si>
  <si>
    <t>16.99</t>
  </si>
  <si>
    <t>40.88</t>
  </si>
  <si>
    <t>32.61</t>
  </si>
  <si>
    <t>8.28</t>
  </si>
  <si>
    <t>39.95</t>
  </si>
  <si>
    <t>1,149</t>
  </si>
  <si>
    <t>560</t>
  </si>
  <si>
    <t>1,072</t>
  </si>
  <si>
    <t>1,053</t>
  </si>
  <si>
    <t>957</t>
  </si>
  <si>
    <t>863</t>
  </si>
  <si>
    <t>804</t>
  </si>
  <si>
    <t>Scenario: Restructure 25% + NCC-Elec</t>
  </si>
  <si>
    <t>Scenario: Restructure 40% + NCC-H2</t>
  </si>
  <si>
    <t>93,971</t>
  </si>
  <si>
    <t>16,032</t>
  </si>
  <si>
    <t>16.22</t>
  </si>
  <si>
    <t>56.46</t>
  </si>
  <si>
    <t>11.00</t>
  </si>
  <si>
    <t>45.46</t>
  </si>
  <si>
    <t>47.77</t>
  </si>
  <si>
    <t>16.38</t>
  </si>
  <si>
    <t>31.39</t>
  </si>
  <si>
    <t>36.30</t>
  </si>
  <si>
    <t>21.55</t>
  </si>
  <si>
    <t>14.75</t>
  </si>
  <si>
    <t>35.50</t>
  </si>
  <si>
    <t>28.31</t>
  </si>
  <si>
    <t>7.19</t>
  </si>
  <si>
    <t>34.69</t>
  </si>
  <si>
    <t>666</t>
  </si>
  <si>
    <t>574</t>
  </si>
  <si>
    <t>445</t>
  </si>
  <si>
    <t>Scenario: Restructure 40% + NCC-Elec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</si>
</sst>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0"/>
      <color rgb="FF1F4E79"/>
      <name val="Calibri"/>
      <family val="2"/>
    </font>
    <font>
      <sz val="11"/>
      <name val="Calibri"/>
      <family val="2"/>
    </font>
    <font>
      <b/>
      <sz val="14"/>
      <color rgb="FF1F4E79"/>
      <name val="Calibri"/>
      <family val="2"/>
    </font>
    <font>
      <i/>
      <sz val="9"/>
      <color rgb="FF666666"/>
      <name val="Calibri"/>
      <family val="2"/>
    </font>
    <font>
      <b/>
      <sz val="11"/>
      <color rgb="FF1F4E79"/>
      <name val="Calibri"/>
      <family val="2"/>
    </font>
    <font>
      <b/>
      <sz val="16"/>
      <color rgb="FF1F4E79"/>
      <name val="Calibri"/>
      <family val="2"/>
    </font>
    <font>
      <b/>
      <sz val="12"/>
      <color rgb="FF1F4E79"/>
      <name val="Calibri"/>
      <family val="2"/>
    </font>
    <font>
      <b/>
      <sz val="11"/>
      <name val="Calibri"/>
      <family val="2"/>
    </font>
    <font>
      <i/>
      <sz val="9"/>
      <name val="Calibri"/>
      <family val="2"/>
    </font>
    <font>
      <b/>
      <sz val="12"/>
      <name val="Calibri"/>
      <family val="2"/>
    </font>
    <font>
      <i/>
      <sz val="11"/>
      <name val="Calibri"/>
      <family val="2"/>
    </font>
    <font>
      <b/>
      <sz val="11"/>
      <color rgb="FFFF0000"/>
      <name val="Calibri"/>
      <family val="2"/>
    </font>
    <font>
      <b/>
      <sz val="11"/>
      <color rgb="FF0064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D6E3F8"/>
        <bgColor rgb="FFD6E3F8"/>
      </patternFill>
    </fill>
    <fill>
      <patternFill patternType="solid">
        <fgColor rgb="FFC6EFCE"/>
        <bgColor rgb="FFC6EFCE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</borders>
  <cellStyleXfs count="6">
    <xf numFmtId="0" fontId="0" fillId="0" borderId="0"/>
    <xf numFmtId="0" fontId="1" fillId="2" borderId="1">
      <alignment horizontal="center" vertical="center" wrapText="1"/>
    </xf>
    <xf numFmtId="0" fontId="2" fillId="3" borderId="1">
      <alignment horizontal="left" vertical="center"/>
    </xf>
    <xf numFmtId="0" fontId="3" fillId="0" borderId="1">
      <alignment horizontal="right" vertical="center"/>
    </xf>
    <xf numFmtId="0" fontId="5" fillId="0" borderId="2">
      <alignment horizontal="left" vertical="center" wrapText="1"/>
    </xf>
    <xf numFmtId="0" fontId="6" fillId="4" borderId="1">
      <alignment horizontal="center" vertical="center"/>
    </xf>
  </cellStyleXfs>
  <cellXfs count="12">
    <xf numFmtId="0" fontId="0" fillId="0" borderId="0" xfId="0"/>
    <xf numFmtId="0" fontId="8" fillId="0" borderId="0" xfId="0" applyFont="1"/>
    <xf numFmtId="0" fontId="9" fillId="0" borderId="0" xfId="0" applyFont="1"/>
    <xf numFmtId="0" fontId="1" fillId="2" borderId="1" xfId="1">
      <alignment horizontal="center" vertical="center" wrapText="1"/>
    </xf>
    <xf numFmtId="0" fontId="4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7" fillId="0" borderId="0" xfId="0" applyFont="1"/>
    <xf numFmtId="0" fontId="0" fillId="0" borderId="0" xfId="0"/>
  </cellXfs>
  <cellStyles count="6">
    <cellStyle name="data_style" xfId="3" xr:uid="{00000000-0005-0000-0000-000003000000}"/>
    <cellStyle name="header_style" xfId="1" xr:uid="{00000000-0005-0000-0000-000001000000}"/>
    <cellStyle name="highlight_style" xfId="5" xr:uid="{00000000-0005-0000-0000-000006000000}"/>
    <cellStyle name="Normal" xfId="0" builtinId="0"/>
    <cellStyle name="source_style" xfId="4" xr:uid="{00000000-0005-0000-0000-000005000000}"/>
    <cellStyle name="subheader_style" xfId="2" xr:uid="{00000000-0005-0000-0000-00000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en-US"/>
              <a:t>Annual Regional Investment (CAPEX)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'14. Scenario Comparison'!$B$61</c:f>
              <c:strCache>
                <c:ptCount val="1"/>
                <c:pt idx="0">
                  <c:v>Busan/Iksan/Siheung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'14. Scenario Comparison'!$A$62:$A$87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'14. Scenario Comparison'!$B$62:$B$87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BEB-B740-9098-BC409EE1991B}"/>
            </c:ext>
          </c:extLst>
        </c:ser>
        <c:ser>
          <c:idx val="1"/>
          <c:order val="1"/>
          <c:tx>
            <c:strRef>
              <c:f>'14. Scenario Comparison'!$C$61</c:f>
              <c:strCache>
                <c:ptCount val="1"/>
                <c:pt idx="0">
                  <c:v>Daesan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'14. Scenario Comparison'!$A$62:$A$87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'14. Scenario Comparison'!$C$62:$C$87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5.9075591390821049</c:v>
                </c:pt>
                <c:pt idx="3">
                  <c:v>17.79104934675205</c:v>
                </c:pt>
                <c:pt idx="4">
                  <c:v>29.95032415986638</c:v>
                </c:pt>
                <c:pt idx="5">
                  <c:v>183.34852115156849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95.407328462227738</c:v>
                </c:pt>
                <c:pt idx="12">
                  <c:v>146.12438646158071</c:v>
                </c:pt>
                <c:pt idx="13">
                  <c:v>147.47695778106299</c:v>
                </c:pt>
                <c:pt idx="14">
                  <c:v>148.25810492784009</c:v>
                </c:pt>
                <c:pt idx="15">
                  <c:v>0</c:v>
                </c:pt>
                <c:pt idx="16">
                  <c:v>236.86879268581509</c:v>
                </c:pt>
                <c:pt idx="17">
                  <c:v>332.01355663740981</c:v>
                </c:pt>
                <c:pt idx="18">
                  <c:v>323.98097058972883</c:v>
                </c:pt>
                <c:pt idx="19">
                  <c:v>316.13251022439329</c:v>
                </c:pt>
                <c:pt idx="20">
                  <c:v>307.9157984943717</c:v>
                </c:pt>
                <c:pt idx="21">
                  <c:v>299.88321244669243</c:v>
                </c:pt>
                <c:pt idx="22">
                  <c:v>291.85062639901241</c:v>
                </c:pt>
                <c:pt idx="23">
                  <c:v>283.81804035133308</c:v>
                </c:pt>
                <c:pt idx="24">
                  <c:v>275.7854543036546</c:v>
                </c:pt>
                <c:pt idx="25">
                  <c:v>267.75286825597459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BEB-B740-9098-BC409EE1991B}"/>
            </c:ext>
          </c:extLst>
        </c:ser>
        <c:ser>
          <c:idx val="2"/>
          <c:order val="2"/>
          <c:tx>
            <c:strRef>
              <c:f>'14. Scenario Comparison'!$D$61</c:f>
              <c:strCache>
                <c:ptCount val="1"/>
                <c:pt idx="0">
                  <c:v>Gimcheon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'14. Scenario Comparison'!$A$62:$A$87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'14. Scenario Comparison'!$D$62:$D$87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EBEB-B740-9098-BC409EE1991B}"/>
            </c:ext>
          </c:extLst>
        </c:ser>
        <c:ser>
          <c:idx val="3"/>
          <c:order val="3"/>
          <c:tx>
            <c:strRef>
              <c:f>'14. Scenario Comparison'!$E$61</c:f>
              <c:strCache>
                <c:ptCount val="1"/>
                <c:pt idx="0">
                  <c:v>Gumi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'14. Scenario Comparison'!$A$62:$A$87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'14. Scenario Comparison'!$E$62:$E$87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EBEB-B740-9098-BC409EE1991B}"/>
            </c:ext>
          </c:extLst>
        </c:ser>
        <c:ser>
          <c:idx val="4"/>
          <c:order val="4"/>
          <c:tx>
            <c:strRef>
              <c:f>'14. Scenario Comparison'!$F$61</c:f>
              <c:strCache>
                <c:ptCount val="1"/>
                <c:pt idx="0">
                  <c:v>Gunsan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'14. Scenario Comparison'!$A$62:$A$87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'14. Scenario Comparison'!$F$62:$F$87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EBEB-B740-9098-BC409EE1991B}"/>
            </c:ext>
          </c:extLst>
        </c:ser>
        <c:ser>
          <c:idx val="5"/>
          <c:order val="5"/>
          <c:tx>
            <c:strRef>
              <c:f>'14. Scenario Comparison'!$G$61</c:f>
              <c:strCache>
                <c:ptCount val="1"/>
                <c:pt idx="0">
                  <c:v>Gwangyang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'14. Scenario Comparison'!$A$62:$A$87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'14. Scenario Comparison'!$G$62:$G$87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0.30336114497989181</c:v>
                </c:pt>
                <c:pt idx="3">
                  <c:v>0.91359442591429441</c:v>
                </c:pt>
                <c:pt idx="4">
                  <c:v>1.5379896190201661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EBEB-B740-9098-BC409EE1991B}"/>
            </c:ext>
          </c:extLst>
        </c:ser>
        <c:ser>
          <c:idx val="6"/>
          <c:order val="6"/>
          <c:tx>
            <c:strRef>
              <c:f>'14. Scenario Comparison'!$H$61</c:f>
              <c:strCache>
                <c:ptCount val="1"/>
                <c:pt idx="0">
                  <c:v>Incheon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'14. Scenario Comparison'!$A$62:$A$87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'14. Scenario Comparison'!$H$62:$H$87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0.71848692232079669</c:v>
                </c:pt>
                <c:pt idx="3">
                  <c:v>2.1637762719022762</c:v>
                </c:pt>
                <c:pt idx="4">
                  <c:v>3.6426069924161819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EBEB-B740-9098-BC409EE1991B}"/>
            </c:ext>
          </c:extLst>
        </c:ser>
        <c:ser>
          <c:idx val="7"/>
          <c:order val="7"/>
          <c:tx>
            <c:strRef>
              <c:f>'14. Scenario Comparison'!$I$61</c:f>
              <c:strCache>
                <c:ptCount val="1"/>
                <c:pt idx="0">
                  <c:v>Jeonju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'14. Scenario Comparison'!$A$62:$A$87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'14. Scenario Comparison'!$I$62:$I$87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EBEB-B740-9098-BC409EE1991B}"/>
            </c:ext>
          </c:extLst>
        </c:ser>
        <c:ser>
          <c:idx val="8"/>
          <c:order val="8"/>
          <c:tx>
            <c:strRef>
              <c:f>'14. Scenario Comparison'!$J$61</c:f>
              <c:strCache>
                <c:ptCount val="1"/>
                <c:pt idx="0">
                  <c:v>Jinhae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'14. Scenario Comparison'!$A$62:$A$87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'14. Scenario Comparison'!$J$62:$J$87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8-EBEB-B740-9098-BC409EE1991B}"/>
            </c:ext>
          </c:extLst>
        </c:ser>
        <c:ser>
          <c:idx val="9"/>
          <c:order val="9"/>
          <c:tx>
            <c:strRef>
              <c:f>'14. Scenario Comparison'!$K$61</c:f>
              <c:strCache>
                <c:ptCount val="1"/>
                <c:pt idx="0">
                  <c:v>Naju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'14. Scenario Comparison'!$A$62:$A$87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'14. Scenario Comparison'!$K$62:$K$87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9-EBEB-B740-9098-BC409EE1991B}"/>
            </c:ext>
          </c:extLst>
        </c:ser>
        <c:ser>
          <c:idx val="10"/>
          <c:order val="10"/>
          <c:tx>
            <c:strRef>
              <c:f>'14. Scenario Comparison'!$L$61</c:f>
              <c:strCache>
                <c:ptCount val="1"/>
                <c:pt idx="0">
                  <c:v>Onsan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'14. Scenario Comparison'!$A$62:$A$87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'14. Scenario Comparison'!$L$62:$L$87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3.8888602278004059</c:v>
                </c:pt>
                <c:pt idx="3">
                  <c:v>11.711588929800961</c:v>
                </c:pt>
                <c:pt idx="4">
                  <c:v>19.715862624970871</c:v>
                </c:pt>
                <c:pt idx="5">
                  <c:v>317.76806504245548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165.35394976679211</c:v>
                </c:pt>
                <c:pt idx="12">
                  <c:v>253.2535482139352</c:v>
                </c:pt>
                <c:pt idx="13">
                  <c:v>255.59773931143809</c:v>
                </c:pt>
                <c:pt idx="14">
                  <c:v>256.95157415987723</c:v>
                </c:pt>
                <c:pt idx="15">
                  <c:v>0</c:v>
                </c:pt>
                <c:pt idx="16">
                  <c:v>410.526015961106</c:v>
                </c:pt>
                <c:pt idx="17">
                  <c:v>575.42490551814785</c:v>
                </c:pt>
                <c:pt idx="18">
                  <c:v>561.50333522335086</c:v>
                </c:pt>
                <c:pt idx="19">
                  <c:v>547.90087992024314</c:v>
                </c:pt>
                <c:pt idx="20">
                  <c:v>533.66019463376563</c:v>
                </c:pt>
                <c:pt idx="21">
                  <c:v>519.73862433897148</c:v>
                </c:pt>
                <c:pt idx="22">
                  <c:v>505.8170540441763</c:v>
                </c:pt>
                <c:pt idx="23">
                  <c:v>491.89548374938249</c:v>
                </c:pt>
                <c:pt idx="24">
                  <c:v>477.97391345459022</c:v>
                </c:pt>
                <c:pt idx="25">
                  <c:v>464.05234315979448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A-EBEB-B740-9098-BC409EE1991B}"/>
            </c:ext>
          </c:extLst>
        </c:ser>
        <c:ser>
          <c:idx val="11"/>
          <c:order val="11"/>
          <c:tx>
            <c:strRef>
              <c:f>'14. Scenario Comparison'!$M$61</c:f>
              <c:strCache>
                <c:ptCount val="1"/>
                <c:pt idx="0">
                  <c:v>Pohang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'14. Scenario Comparison'!$A$62:$A$87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'14. Scenario Comparison'!$M$62:$M$87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B-EBEB-B740-9098-BC409EE1991B}"/>
            </c:ext>
          </c:extLst>
        </c:ser>
        <c:ser>
          <c:idx val="12"/>
          <c:order val="12"/>
          <c:tx>
            <c:strRef>
              <c:f>'14. Scenario Comparison'!$N$61</c:f>
              <c:strCache>
                <c:ptCount val="1"/>
                <c:pt idx="0">
                  <c:v>Ulsan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'14. Scenario Comparison'!$A$62:$A$87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'14. Scenario Comparison'!$N$62:$N$87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6.352495571814071</c:v>
                </c:pt>
                <c:pt idx="3">
                  <c:v>19.131008176539101</c:v>
                </c:pt>
                <c:pt idx="4">
                  <c:v>32.206076506499272</c:v>
                </c:pt>
                <c:pt idx="5">
                  <c:v>37.878202565032652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19.710320492268391</c:v>
                </c:pt>
                <c:pt idx="12">
                  <c:v>30.18802156308265</c:v>
                </c:pt>
                <c:pt idx="13">
                  <c:v>30.467450980354329</c:v>
                </c:pt>
                <c:pt idx="14">
                  <c:v>30.628829156043331</c:v>
                </c:pt>
                <c:pt idx="15">
                  <c:v>0</c:v>
                </c:pt>
                <c:pt idx="16">
                  <c:v>48.935023060649719</c:v>
                </c:pt>
                <c:pt idx="17">
                  <c:v>68.591100019031501</c:v>
                </c:pt>
                <c:pt idx="18">
                  <c:v>66.931637921796508</c:v>
                </c:pt>
                <c:pt idx="19">
                  <c:v>65.310214581839219</c:v>
                </c:pt>
                <c:pt idx="20">
                  <c:v>63.61271372732751</c:v>
                </c:pt>
                <c:pt idx="21">
                  <c:v>61.953251630092929</c:v>
                </c:pt>
                <c:pt idx="22">
                  <c:v>60.293789532858113</c:v>
                </c:pt>
                <c:pt idx="23">
                  <c:v>58.634327435623469</c:v>
                </c:pt>
                <c:pt idx="24">
                  <c:v>56.97486533838903</c:v>
                </c:pt>
                <c:pt idx="25">
                  <c:v>55.315403241154222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C-EBEB-B740-9098-BC409EE1991B}"/>
            </c:ext>
          </c:extLst>
        </c:ser>
        <c:ser>
          <c:idx val="13"/>
          <c:order val="13"/>
          <c:tx>
            <c:strRef>
              <c:f>'14. Scenario Comparison'!$O$61</c:f>
              <c:strCache>
                <c:ptCount val="1"/>
                <c:pt idx="0">
                  <c:v>Yeosu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'14. Scenario Comparison'!$A$62:$A$87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'14. Scenario Comparison'!$O$62:$O$87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5.1932633904748462</c:v>
                </c:pt>
                <c:pt idx="3">
                  <c:v>15.63989510310253</c:v>
                </c:pt>
                <c:pt idx="4">
                  <c:v>26.328965708239291</c:v>
                </c:pt>
                <c:pt idx="5">
                  <c:v>175.15698730280189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91.144777798551203</c:v>
                </c:pt>
                <c:pt idx="12">
                  <c:v>139.59592988984329</c:v>
                </c:pt>
                <c:pt idx="13">
                  <c:v>140.88807184956411</c:v>
                </c:pt>
                <c:pt idx="14">
                  <c:v>141.63431937864311</c:v>
                </c:pt>
                <c:pt idx="15">
                  <c:v>0</c:v>
                </c:pt>
                <c:pt idx="16">
                  <c:v>226.2861126575518</c:v>
                </c:pt>
                <c:pt idx="17">
                  <c:v>317.18005664317508</c:v>
                </c:pt>
                <c:pt idx="18">
                  <c:v>309.50634559535467</c:v>
                </c:pt>
                <c:pt idx="19">
                  <c:v>302.00853397449532</c:v>
                </c:pt>
                <c:pt idx="20">
                  <c:v>294.15892349971858</c:v>
                </c:pt>
                <c:pt idx="21">
                  <c:v>286.48521245189983</c:v>
                </c:pt>
                <c:pt idx="22">
                  <c:v>278.81150140408027</c:v>
                </c:pt>
                <c:pt idx="23">
                  <c:v>271.13779035626158</c:v>
                </c:pt>
                <c:pt idx="24">
                  <c:v>263.46407930844367</c:v>
                </c:pt>
                <c:pt idx="25">
                  <c:v>255.79036826062409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D-EBEB-B740-9098-BC409EE199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Year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Investment ($ Million)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en-US"/>
              <a:t>Annual Regional Electricity Demand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'14. Scenario Comparison'!$B$110</c:f>
              <c:strCache>
                <c:ptCount val="1"/>
                <c:pt idx="0">
                  <c:v>Busan/Iksan/Siheung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'14. Scenario Comparison'!$A$111:$A$136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'14. Scenario Comparison'!$B$111:$B$136</c:f>
              <c:numCache>
                <c:formatCode>General</c:formatCode>
                <c:ptCount val="26"/>
                <c:pt idx="0">
                  <c:v>4.4091386510604997E-3</c:v>
                </c:pt>
                <c:pt idx="1">
                  <c:v>4.4091386510604997E-3</c:v>
                </c:pt>
                <c:pt idx="2">
                  <c:v>4.4091386510604997E-3</c:v>
                </c:pt>
                <c:pt idx="3">
                  <c:v>4.4091386510604997E-3</c:v>
                </c:pt>
                <c:pt idx="4">
                  <c:v>4.4091386510604997E-3</c:v>
                </c:pt>
                <c:pt idx="5">
                  <c:v>4.4091386510604997E-3</c:v>
                </c:pt>
                <c:pt idx="6">
                  <c:v>4.4091386510604997E-3</c:v>
                </c:pt>
                <c:pt idx="7">
                  <c:v>4.4091386510604997E-3</c:v>
                </c:pt>
                <c:pt idx="8">
                  <c:v>4.4091386510604997E-3</c:v>
                </c:pt>
                <c:pt idx="9">
                  <c:v>4.4091386510604997E-3</c:v>
                </c:pt>
                <c:pt idx="10">
                  <c:v>4.4091386510604997E-3</c:v>
                </c:pt>
                <c:pt idx="11">
                  <c:v>4.4091386510604997E-3</c:v>
                </c:pt>
                <c:pt idx="12">
                  <c:v>4.4091386510604997E-3</c:v>
                </c:pt>
                <c:pt idx="13">
                  <c:v>4.4091386510604997E-3</c:v>
                </c:pt>
                <c:pt idx="14">
                  <c:v>4.4091386510604997E-3</c:v>
                </c:pt>
                <c:pt idx="15">
                  <c:v>4.4091386510604997E-3</c:v>
                </c:pt>
                <c:pt idx="16">
                  <c:v>4.4091386510604997E-3</c:v>
                </c:pt>
                <c:pt idx="17">
                  <c:v>4.4091386510604997E-3</c:v>
                </c:pt>
                <c:pt idx="18">
                  <c:v>4.4091386510604997E-3</c:v>
                </c:pt>
                <c:pt idx="19">
                  <c:v>4.4091386510604997E-3</c:v>
                </c:pt>
                <c:pt idx="20">
                  <c:v>4.4091386510604997E-3</c:v>
                </c:pt>
                <c:pt idx="21">
                  <c:v>4.4091386510604997E-3</c:v>
                </c:pt>
                <c:pt idx="22">
                  <c:v>4.4091386510604997E-3</c:v>
                </c:pt>
                <c:pt idx="23">
                  <c:v>4.4091386510604997E-3</c:v>
                </c:pt>
                <c:pt idx="24">
                  <c:v>4.4091386510604997E-3</c:v>
                </c:pt>
                <c:pt idx="25">
                  <c:v>4.4091386510604997E-3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961-CF4D-862F-E2593F2C4268}"/>
            </c:ext>
          </c:extLst>
        </c:ser>
        <c:ser>
          <c:idx val="1"/>
          <c:order val="1"/>
          <c:tx>
            <c:strRef>
              <c:f>'14. Scenario Comparison'!$C$110</c:f>
              <c:strCache>
                <c:ptCount val="1"/>
                <c:pt idx="0">
                  <c:v>Daesan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'14. Scenario Comparison'!$A$111:$A$136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'14. Scenario Comparison'!$C$111:$C$136</c:f>
              <c:numCache>
                <c:formatCode>General</c:formatCode>
                <c:ptCount val="26"/>
                <c:pt idx="0">
                  <c:v>6.4066162178912673</c:v>
                </c:pt>
                <c:pt idx="1">
                  <c:v>6.4066162178912673</c:v>
                </c:pt>
                <c:pt idx="2">
                  <c:v>6.4431456726741549</c:v>
                </c:pt>
                <c:pt idx="3">
                  <c:v>6.5567835565510739</c:v>
                </c:pt>
                <c:pt idx="4">
                  <c:v>6.754608851072919</c:v>
                </c:pt>
                <c:pt idx="5">
                  <c:v>7.707302147252638</c:v>
                </c:pt>
                <c:pt idx="6">
                  <c:v>7.707302147252638</c:v>
                </c:pt>
                <c:pt idx="7">
                  <c:v>7.707302147252638</c:v>
                </c:pt>
                <c:pt idx="8">
                  <c:v>7.707302147252638</c:v>
                </c:pt>
                <c:pt idx="9">
                  <c:v>7.707302147252638</c:v>
                </c:pt>
                <c:pt idx="10">
                  <c:v>7.707302147252638</c:v>
                </c:pt>
                <c:pt idx="11">
                  <c:v>8.2845382669441978</c:v>
                </c:pt>
                <c:pt idx="12">
                  <c:v>9.1935279949329036</c:v>
                </c:pt>
                <c:pt idx="13">
                  <c:v>10.137523014545989</c:v>
                </c:pt>
                <c:pt idx="14">
                  <c:v>11.114846343050409</c:v>
                </c:pt>
                <c:pt idx="15">
                  <c:v>11.114846343050409</c:v>
                </c:pt>
                <c:pt idx="16">
                  <c:v>12.7623589430961</c:v>
                </c:pt>
                <c:pt idx="17">
                  <c:v>15.12750927935722</c:v>
                </c:pt>
                <c:pt idx="18">
                  <c:v>17.492659615618329</c:v>
                </c:pt>
                <c:pt idx="19">
                  <c:v>19.85918829385178</c:v>
                </c:pt>
                <c:pt idx="20">
                  <c:v>22.2243386301129</c:v>
                </c:pt>
                <c:pt idx="21">
                  <c:v>24.589488966374009</c:v>
                </c:pt>
                <c:pt idx="22">
                  <c:v>26.954639302635119</c:v>
                </c:pt>
                <c:pt idx="23">
                  <c:v>29.319789638896228</c:v>
                </c:pt>
                <c:pt idx="24">
                  <c:v>31.684939975157349</c:v>
                </c:pt>
                <c:pt idx="25">
                  <c:v>34.050090311418458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961-CF4D-862F-E2593F2C4268}"/>
            </c:ext>
          </c:extLst>
        </c:ser>
        <c:ser>
          <c:idx val="2"/>
          <c:order val="2"/>
          <c:tx>
            <c:strRef>
              <c:f>'14. Scenario Comparison'!$D$110</c:f>
              <c:strCache>
                <c:ptCount val="1"/>
                <c:pt idx="0">
                  <c:v>Gimcheon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'14. Scenario Comparison'!$A$111:$A$136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'14. Scenario Comparison'!$D$111:$D$136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3961-CF4D-862F-E2593F2C4268}"/>
            </c:ext>
          </c:extLst>
        </c:ser>
        <c:ser>
          <c:idx val="3"/>
          <c:order val="3"/>
          <c:tx>
            <c:strRef>
              <c:f>'14. Scenario Comparison'!$E$110</c:f>
              <c:strCache>
                <c:ptCount val="1"/>
                <c:pt idx="0">
                  <c:v>Gumi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'14. Scenario Comparison'!$A$111:$A$136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'14. Scenario Comparison'!$E$111:$E$136</c:f>
              <c:numCache>
                <c:formatCode>General</c:formatCode>
                <c:ptCount val="26"/>
                <c:pt idx="0">
                  <c:v>4.3259473557570003E-4</c:v>
                </c:pt>
                <c:pt idx="1">
                  <c:v>4.3259473557570003E-4</c:v>
                </c:pt>
                <c:pt idx="2">
                  <c:v>4.3259473557570003E-4</c:v>
                </c:pt>
                <c:pt idx="3">
                  <c:v>4.3259473557570003E-4</c:v>
                </c:pt>
                <c:pt idx="4">
                  <c:v>4.3259473557570003E-4</c:v>
                </c:pt>
                <c:pt idx="5">
                  <c:v>4.3259473557570003E-4</c:v>
                </c:pt>
                <c:pt idx="6">
                  <c:v>4.3259473557570003E-4</c:v>
                </c:pt>
                <c:pt idx="7">
                  <c:v>4.3259473557570003E-4</c:v>
                </c:pt>
                <c:pt idx="8">
                  <c:v>4.3259473557570003E-4</c:v>
                </c:pt>
                <c:pt idx="9">
                  <c:v>4.3259473557570003E-4</c:v>
                </c:pt>
                <c:pt idx="10">
                  <c:v>4.3259473557570003E-4</c:v>
                </c:pt>
                <c:pt idx="11">
                  <c:v>4.3259473557570003E-4</c:v>
                </c:pt>
                <c:pt idx="12">
                  <c:v>4.3259473557570003E-4</c:v>
                </c:pt>
                <c:pt idx="13">
                  <c:v>4.3259473557570003E-4</c:v>
                </c:pt>
                <c:pt idx="14">
                  <c:v>4.3259473557570003E-4</c:v>
                </c:pt>
                <c:pt idx="15">
                  <c:v>4.3259473557570003E-4</c:v>
                </c:pt>
                <c:pt idx="16">
                  <c:v>4.3259473557570003E-4</c:v>
                </c:pt>
                <c:pt idx="17">
                  <c:v>4.3259473557570003E-4</c:v>
                </c:pt>
                <c:pt idx="18">
                  <c:v>4.3259473557570003E-4</c:v>
                </c:pt>
                <c:pt idx="19">
                  <c:v>4.3259473557570003E-4</c:v>
                </c:pt>
                <c:pt idx="20">
                  <c:v>4.3259473557570003E-4</c:v>
                </c:pt>
                <c:pt idx="21">
                  <c:v>4.3259473557570003E-4</c:v>
                </c:pt>
                <c:pt idx="22">
                  <c:v>4.3259473557570003E-4</c:v>
                </c:pt>
                <c:pt idx="23">
                  <c:v>4.3259473557570003E-4</c:v>
                </c:pt>
                <c:pt idx="24">
                  <c:v>4.3259473557570003E-4</c:v>
                </c:pt>
                <c:pt idx="25">
                  <c:v>4.3259473557570003E-4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3961-CF4D-862F-E2593F2C4268}"/>
            </c:ext>
          </c:extLst>
        </c:ser>
        <c:ser>
          <c:idx val="4"/>
          <c:order val="4"/>
          <c:tx>
            <c:strRef>
              <c:f>'14. Scenario Comparison'!$F$110</c:f>
              <c:strCache>
                <c:ptCount val="1"/>
                <c:pt idx="0">
                  <c:v>Gunsan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'14. Scenario Comparison'!$A$111:$A$136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'14. Scenario Comparison'!$F$111:$F$136</c:f>
              <c:numCache>
                <c:formatCode>General</c:formatCode>
                <c:ptCount val="26"/>
                <c:pt idx="0">
                  <c:v>3.0901752534817999E-3</c:v>
                </c:pt>
                <c:pt idx="1">
                  <c:v>3.0901752534817999E-3</c:v>
                </c:pt>
                <c:pt idx="2">
                  <c:v>3.0901752534817999E-3</c:v>
                </c:pt>
                <c:pt idx="3">
                  <c:v>3.0901752534817999E-3</c:v>
                </c:pt>
                <c:pt idx="4">
                  <c:v>3.0901752534817999E-3</c:v>
                </c:pt>
                <c:pt idx="5">
                  <c:v>3.0901752534817999E-3</c:v>
                </c:pt>
                <c:pt idx="6">
                  <c:v>3.0901752534817999E-3</c:v>
                </c:pt>
                <c:pt idx="7">
                  <c:v>3.0901752534817999E-3</c:v>
                </c:pt>
                <c:pt idx="8">
                  <c:v>3.0901752534817999E-3</c:v>
                </c:pt>
                <c:pt idx="9">
                  <c:v>3.0901752534817999E-3</c:v>
                </c:pt>
                <c:pt idx="10">
                  <c:v>3.0901752534817999E-3</c:v>
                </c:pt>
                <c:pt idx="11">
                  <c:v>3.0901752534817999E-3</c:v>
                </c:pt>
                <c:pt idx="12">
                  <c:v>3.0901752534817999E-3</c:v>
                </c:pt>
                <c:pt idx="13">
                  <c:v>3.0901752534817999E-3</c:v>
                </c:pt>
                <c:pt idx="14">
                  <c:v>3.0901752534817999E-3</c:v>
                </c:pt>
                <c:pt idx="15">
                  <c:v>3.0901752534817999E-3</c:v>
                </c:pt>
                <c:pt idx="16">
                  <c:v>3.0901752534817999E-3</c:v>
                </c:pt>
                <c:pt idx="17">
                  <c:v>3.0901752534817999E-3</c:v>
                </c:pt>
                <c:pt idx="18">
                  <c:v>3.0901752534817999E-3</c:v>
                </c:pt>
                <c:pt idx="19">
                  <c:v>3.0901752534817999E-3</c:v>
                </c:pt>
                <c:pt idx="20">
                  <c:v>3.0901752534817999E-3</c:v>
                </c:pt>
                <c:pt idx="21">
                  <c:v>3.0901752534817999E-3</c:v>
                </c:pt>
                <c:pt idx="22">
                  <c:v>3.0901752534817999E-3</c:v>
                </c:pt>
                <c:pt idx="23">
                  <c:v>3.0901752534817999E-3</c:v>
                </c:pt>
                <c:pt idx="24">
                  <c:v>3.0901752534817999E-3</c:v>
                </c:pt>
                <c:pt idx="25">
                  <c:v>3.0901752534817999E-3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3961-CF4D-862F-E2593F2C4268}"/>
            </c:ext>
          </c:extLst>
        </c:ser>
        <c:ser>
          <c:idx val="5"/>
          <c:order val="5"/>
          <c:tx>
            <c:strRef>
              <c:f>'14. Scenario Comparison'!$G$110</c:f>
              <c:strCache>
                <c:ptCount val="1"/>
                <c:pt idx="0">
                  <c:v>Gwangyang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'14. Scenario Comparison'!$A$111:$A$136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'14. Scenario Comparison'!$G$111:$G$136</c:f>
              <c:numCache>
                <c:formatCode>General</c:formatCode>
                <c:ptCount val="26"/>
                <c:pt idx="0">
                  <c:v>2.33700201820057E-2</c:v>
                </c:pt>
                <c:pt idx="1">
                  <c:v>2.33700201820057E-2</c:v>
                </c:pt>
                <c:pt idx="2">
                  <c:v>2.5245857049235002E-2</c:v>
                </c:pt>
                <c:pt idx="3">
                  <c:v>3.10813159510228E-2</c:v>
                </c:pt>
                <c:pt idx="4">
                  <c:v>4.1239912156198599E-2</c:v>
                </c:pt>
                <c:pt idx="5">
                  <c:v>4.1239912156198599E-2</c:v>
                </c:pt>
                <c:pt idx="6">
                  <c:v>4.1239912156198599E-2</c:v>
                </c:pt>
                <c:pt idx="7">
                  <c:v>4.1239912156198599E-2</c:v>
                </c:pt>
                <c:pt idx="8">
                  <c:v>4.1239912156198599E-2</c:v>
                </c:pt>
                <c:pt idx="9">
                  <c:v>4.1239912156198599E-2</c:v>
                </c:pt>
                <c:pt idx="10">
                  <c:v>4.1239912156198599E-2</c:v>
                </c:pt>
                <c:pt idx="11">
                  <c:v>4.1239912156198599E-2</c:v>
                </c:pt>
                <c:pt idx="12">
                  <c:v>4.1239912156198599E-2</c:v>
                </c:pt>
                <c:pt idx="13">
                  <c:v>4.1239912156198599E-2</c:v>
                </c:pt>
                <c:pt idx="14">
                  <c:v>4.1239912156198599E-2</c:v>
                </c:pt>
                <c:pt idx="15">
                  <c:v>4.1239912156198599E-2</c:v>
                </c:pt>
                <c:pt idx="16">
                  <c:v>4.1239912156198599E-2</c:v>
                </c:pt>
                <c:pt idx="17">
                  <c:v>4.1239912156198599E-2</c:v>
                </c:pt>
                <c:pt idx="18">
                  <c:v>4.1239912156198599E-2</c:v>
                </c:pt>
                <c:pt idx="19">
                  <c:v>4.1239912156198599E-2</c:v>
                </c:pt>
                <c:pt idx="20">
                  <c:v>4.1239912156198599E-2</c:v>
                </c:pt>
                <c:pt idx="21">
                  <c:v>4.1239912156198599E-2</c:v>
                </c:pt>
                <c:pt idx="22">
                  <c:v>4.1239912156198599E-2</c:v>
                </c:pt>
                <c:pt idx="23">
                  <c:v>4.1239912156198599E-2</c:v>
                </c:pt>
                <c:pt idx="24">
                  <c:v>4.1239912156198599E-2</c:v>
                </c:pt>
                <c:pt idx="25">
                  <c:v>4.1239912156198599E-2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3961-CF4D-862F-E2593F2C4268}"/>
            </c:ext>
          </c:extLst>
        </c:ser>
        <c:ser>
          <c:idx val="6"/>
          <c:order val="6"/>
          <c:tx>
            <c:strRef>
              <c:f>'14. Scenario Comparison'!$H$110</c:f>
              <c:strCache>
                <c:ptCount val="1"/>
                <c:pt idx="0">
                  <c:v>Incheon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'14. Scenario Comparison'!$A$111:$A$136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'14. Scenario Comparison'!$H$111:$H$136</c:f>
              <c:numCache>
                <c:formatCode>General</c:formatCode>
                <c:ptCount val="26"/>
                <c:pt idx="0">
                  <c:v>5.7877719991901798E-2</c:v>
                </c:pt>
                <c:pt idx="1">
                  <c:v>5.7877719991901798E-2</c:v>
                </c:pt>
                <c:pt idx="2">
                  <c:v>6.2320491519550297E-2</c:v>
                </c:pt>
                <c:pt idx="3">
                  <c:v>7.6141315234310794E-2</c:v>
                </c:pt>
                <c:pt idx="4">
                  <c:v>0.1002011483518324</c:v>
                </c:pt>
                <c:pt idx="5">
                  <c:v>0.1002011483518324</c:v>
                </c:pt>
                <c:pt idx="6">
                  <c:v>0.1002011483518324</c:v>
                </c:pt>
                <c:pt idx="7">
                  <c:v>0.1002011483518324</c:v>
                </c:pt>
                <c:pt idx="8">
                  <c:v>0.1002011483518324</c:v>
                </c:pt>
                <c:pt idx="9">
                  <c:v>0.1002011483518324</c:v>
                </c:pt>
                <c:pt idx="10">
                  <c:v>0.1002011483518324</c:v>
                </c:pt>
                <c:pt idx="11">
                  <c:v>0.1002011483518324</c:v>
                </c:pt>
                <c:pt idx="12">
                  <c:v>0.1002011483518324</c:v>
                </c:pt>
                <c:pt idx="13">
                  <c:v>0.1002011483518324</c:v>
                </c:pt>
                <c:pt idx="14">
                  <c:v>0.1002011483518324</c:v>
                </c:pt>
                <c:pt idx="15">
                  <c:v>0.1002011483518324</c:v>
                </c:pt>
                <c:pt idx="16">
                  <c:v>0.1002011483518324</c:v>
                </c:pt>
                <c:pt idx="17">
                  <c:v>0.1002011483518324</c:v>
                </c:pt>
                <c:pt idx="18">
                  <c:v>0.1002011483518324</c:v>
                </c:pt>
                <c:pt idx="19">
                  <c:v>0.1002011483518324</c:v>
                </c:pt>
                <c:pt idx="20">
                  <c:v>0.1002011483518324</c:v>
                </c:pt>
                <c:pt idx="21">
                  <c:v>0.1002011483518324</c:v>
                </c:pt>
                <c:pt idx="22">
                  <c:v>0.1002011483518324</c:v>
                </c:pt>
                <c:pt idx="23">
                  <c:v>0.1002011483518324</c:v>
                </c:pt>
                <c:pt idx="24">
                  <c:v>0.1002011483518324</c:v>
                </c:pt>
                <c:pt idx="25">
                  <c:v>0.1002011483518324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3961-CF4D-862F-E2593F2C4268}"/>
            </c:ext>
          </c:extLst>
        </c:ser>
        <c:ser>
          <c:idx val="7"/>
          <c:order val="7"/>
          <c:tx>
            <c:strRef>
              <c:f>'14. Scenario Comparison'!$I$110</c:f>
              <c:strCache>
                <c:ptCount val="1"/>
                <c:pt idx="0">
                  <c:v>Jeonju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'14. Scenario Comparison'!$A$111:$A$136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'14. Scenario Comparison'!$I$111:$I$136</c:f>
              <c:numCache>
                <c:formatCode>General</c:formatCode>
                <c:ptCount val="26"/>
                <c:pt idx="0">
                  <c:v>1.730378942303E-3</c:v>
                </c:pt>
                <c:pt idx="1">
                  <c:v>1.730378942303E-3</c:v>
                </c:pt>
                <c:pt idx="2">
                  <c:v>1.730378942303E-3</c:v>
                </c:pt>
                <c:pt idx="3">
                  <c:v>1.730378942303E-3</c:v>
                </c:pt>
                <c:pt idx="4">
                  <c:v>1.730378942303E-3</c:v>
                </c:pt>
                <c:pt idx="5">
                  <c:v>1.730378942303E-3</c:v>
                </c:pt>
                <c:pt idx="6">
                  <c:v>1.730378942303E-3</c:v>
                </c:pt>
                <c:pt idx="7">
                  <c:v>1.730378942303E-3</c:v>
                </c:pt>
                <c:pt idx="8">
                  <c:v>1.730378942303E-3</c:v>
                </c:pt>
                <c:pt idx="9">
                  <c:v>1.730378942303E-3</c:v>
                </c:pt>
                <c:pt idx="10">
                  <c:v>1.730378942303E-3</c:v>
                </c:pt>
                <c:pt idx="11">
                  <c:v>1.730378942303E-3</c:v>
                </c:pt>
                <c:pt idx="12">
                  <c:v>1.730378942303E-3</c:v>
                </c:pt>
                <c:pt idx="13">
                  <c:v>1.730378942303E-3</c:v>
                </c:pt>
                <c:pt idx="14">
                  <c:v>1.730378942303E-3</c:v>
                </c:pt>
                <c:pt idx="15">
                  <c:v>1.730378942303E-3</c:v>
                </c:pt>
                <c:pt idx="16">
                  <c:v>1.730378942303E-3</c:v>
                </c:pt>
                <c:pt idx="17">
                  <c:v>1.730378942303E-3</c:v>
                </c:pt>
                <c:pt idx="18">
                  <c:v>1.730378942303E-3</c:v>
                </c:pt>
                <c:pt idx="19">
                  <c:v>1.730378942303E-3</c:v>
                </c:pt>
                <c:pt idx="20">
                  <c:v>1.730378942303E-3</c:v>
                </c:pt>
                <c:pt idx="21">
                  <c:v>1.730378942303E-3</c:v>
                </c:pt>
                <c:pt idx="22">
                  <c:v>1.730378942303E-3</c:v>
                </c:pt>
                <c:pt idx="23">
                  <c:v>1.730378942303E-3</c:v>
                </c:pt>
                <c:pt idx="24">
                  <c:v>1.730378942303E-3</c:v>
                </c:pt>
                <c:pt idx="25">
                  <c:v>1.730378942303E-3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3961-CF4D-862F-E2593F2C4268}"/>
            </c:ext>
          </c:extLst>
        </c:ser>
        <c:ser>
          <c:idx val="8"/>
          <c:order val="8"/>
          <c:tx>
            <c:strRef>
              <c:f>'14. Scenario Comparison'!$J$110</c:f>
              <c:strCache>
                <c:ptCount val="1"/>
                <c:pt idx="0">
                  <c:v>Jinhae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'14. Scenario Comparison'!$A$111:$A$136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'14. Scenario Comparison'!$J$111:$J$136</c:f>
              <c:numCache>
                <c:formatCode>General</c:formatCode>
                <c:ptCount val="26"/>
                <c:pt idx="0">
                  <c:v>1.1767754615121999E-3</c:v>
                </c:pt>
                <c:pt idx="1">
                  <c:v>1.1767754615121999E-3</c:v>
                </c:pt>
                <c:pt idx="2">
                  <c:v>1.1767754615121999E-3</c:v>
                </c:pt>
                <c:pt idx="3">
                  <c:v>1.1767754615121999E-3</c:v>
                </c:pt>
                <c:pt idx="4">
                  <c:v>1.1767754615121999E-3</c:v>
                </c:pt>
                <c:pt idx="5">
                  <c:v>1.1767754615121999E-3</c:v>
                </c:pt>
                <c:pt idx="6">
                  <c:v>1.1767754615121999E-3</c:v>
                </c:pt>
                <c:pt idx="7">
                  <c:v>1.1767754615121999E-3</c:v>
                </c:pt>
                <c:pt idx="8">
                  <c:v>1.1767754615121999E-3</c:v>
                </c:pt>
                <c:pt idx="9">
                  <c:v>1.1767754615121999E-3</c:v>
                </c:pt>
                <c:pt idx="10">
                  <c:v>1.1767754615121999E-3</c:v>
                </c:pt>
                <c:pt idx="11">
                  <c:v>1.1767754615121999E-3</c:v>
                </c:pt>
                <c:pt idx="12">
                  <c:v>1.1767754615121999E-3</c:v>
                </c:pt>
                <c:pt idx="13">
                  <c:v>1.1767754615121999E-3</c:v>
                </c:pt>
                <c:pt idx="14">
                  <c:v>1.1767754615121999E-3</c:v>
                </c:pt>
                <c:pt idx="15">
                  <c:v>1.1767754615121999E-3</c:v>
                </c:pt>
                <c:pt idx="16">
                  <c:v>1.1767754615121999E-3</c:v>
                </c:pt>
                <c:pt idx="17">
                  <c:v>1.1767754615121999E-3</c:v>
                </c:pt>
                <c:pt idx="18">
                  <c:v>1.1767754615121999E-3</c:v>
                </c:pt>
                <c:pt idx="19">
                  <c:v>1.1767754615121999E-3</c:v>
                </c:pt>
                <c:pt idx="20">
                  <c:v>1.1767754615121999E-3</c:v>
                </c:pt>
                <c:pt idx="21">
                  <c:v>1.1767754615121999E-3</c:v>
                </c:pt>
                <c:pt idx="22">
                  <c:v>1.1767754615121999E-3</c:v>
                </c:pt>
                <c:pt idx="23">
                  <c:v>1.1767754615121999E-3</c:v>
                </c:pt>
                <c:pt idx="24">
                  <c:v>1.1767754615121999E-3</c:v>
                </c:pt>
                <c:pt idx="25">
                  <c:v>1.1767754615121999E-3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8-3961-CF4D-862F-E2593F2C4268}"/>
            </c:ext>
          </c:extLst>
        </c:ser>
        <c:ser>
          <c:idx val="9"/>
          <c:order val="9"/>
          <c:tx>
            <c:strRef>
              <c:f>'14. Scenario Comparison'!$K$110</c:f>
              <c:strCache>
                <c:ptCount val="1"/>
                <c:pt idx="0">
                  <c:v>Naju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'14. Scenario Comparison'!$A$111:$A$136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'14. Scenario Comparison'!$K$111:$K$136</c:f>
              <c:numCache>
                <c:formatCode>General</c:formatCode>
                <c:ptCount val="26"/>
                <c:pt idx="0">
                  <c:v>1.4974433154545E-3</c:v>
                </c:pt>
                <c:pt idx="1">
                  <c:v>1.4974433154545E-3</c:v>
                </c:pt>
                <c:pt idx="2">
                  <c:v>1.4974433154545E-3</c:v>
                </c:pt>
                <c:pt idx="3">
                  <c:v>1.4974433154545E-3</c:v>
                </c:pt>
                <c:pt idx="4">
                  <c:v>1.4974433154545E-3</c:v>
                </c:pt>
                <c:pt idx="5">
                  <c:v>1.4974433154545E-3</c:v>
                </c:pt>
                <c:pt idx="6">
                  <c:v>1.4974433154545E-3</c:v>
                </c:pt>
                <c:pt idx="7">
                  <c:v>1.4974433154545E-3</c:v>
                </c:pt>
                <c:pt idx="8">
                  <c:v>1.4974433154545E-3</c:v>
                </c:pt>
                <c:pt idx="9">
                  <c:v>1.4974433154545E-3</c:v>
                </c:pt>
                <c:pt idx="10">
                  <c:v>1.4974433154545E-3</c:v>
                </c:pt>
                <c:pt idx="11">
                  <c:v>1.4974433154545E-3</c:v>
                </c:pt>
                <c:pt idx="12">
                  <c:v>1.4974433154545E-3</c:v>
                </c:pt>
                <c:pt idx="13">
                  <c:v>1.4974433154545E-3</c:v>
                </c:pt>
                <c:pt idx="14">
                  <c:v>1.4974433154545E-3</c:v>
                </c:pt>
                <c:pt idx="15">
                  <c:v>1.4974433154545E-3</c:v>
                </c:pt>
                <c:pt idx="16">
                  <c:v>1.4974433154545E-3</c:v>
                </c:pt>
                <c:pt idx="17">
                  <c:v>1.4974433154545E-3</c:v>
                </c:pt>
                <c:pt idx="18">
                  <c:v>1.4974433154545E-3</c:v>
                </c:pt>
                <c:pt idx="19">
                  <c:v>1.4974433154545E-3</c:v>
                </c:pt>
                <c:pt idx="20">
                  <c:v>1.4974433154545E-3</c:v>
                </c:pt>
                <c:pt idx="21">
                  <c:v>1.4974433154545E-3</c:v>
                </c:pt>
                <c:pt idx="22">
                  <c:v>1.4974433154545E-3</c:v>
                </c:pt>
                <c:pt idx="23">
                  <c:v>1.4974433154545E-3</c:v>
                </c:pt>
                <c:pt idx="24">
                  <c:v>1.4974433154545E-3</c:v>
                </c:pt>
                <c:pt idx="25">
                  <c:v>1.4974433154545E-3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9-3961-CF4D-862F-E2593F2C4268}"/>
            </c:ext>
          </c:extLst>
        </c:ser>
        <c:ser>
          <c:idx val="10"/>
          <c:order val="10"/>
          <c:tx>
            <c:strRef>
              <c:f>'14. Scenario Comparison'!$L$110</c:f>
              <c:strCache>
                <c:ptCount val="1"/>
                <c:pt idx="0">
                  <c:v>Onsan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'14. Scenario Comparison'!$A$111:$A$136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'14. Scenario Comparison'!$L$111:$L$136</c:f>
              <c:numCache>
                <c:formatCode>General</c:formatCode>
                <c:ptCount val="26"/>
                <c:pt idx="0">
                  <c:v>9.2323742633138401</c:v>
                </c:pt>
                <c:pt idx="1">
                  <c:v>9.2323742633138401</c:v>
                </c:pt>
                <c:pt idx="2">
                  <c:v>9.2564210719033007</c:v>
                </c:pt>
                <c:pt idx="3">
                  <c:v>9.3312272374576608</c:v>
                </c:pt>
                <c:pt idx="4">
                  <c:v>9.4614527505345283</c:v>
                </c:pt>
                <c:pt idx="5">
                  <c:v>11.112600539480621</c:v>
                </c:pt>
                <c:pt idx="6">
                  <c:v>11.112600539480621</c:v>
                </c:pt>
                <c:pt idx="7">
                  <c:v>11.112600539480621</c:v>
                </c:pt>
                <c:pt idx="8">
                  <c:v>11.112600539480621</c:v>
                </c:pt>
                <c:pt idx="9">
                  <c:v>11.112600539480621</c:v>
                </c:pt>
                <c:pt idx="10">
                  <c:v>11.112600539480621</c:v>
                </c:pt>
                <c:pt idx="11">
                  <c:v>12.113029687613039</c:v>
                </c:pt>
                <c:pt idx="12">
                  <c:v>13.68843321523493</c:v>
                </c:pt>
                <c:pt idx="13">
                  <c:v>15.32450570116564</c:v>
                </c:pt>
                <c:pt idx="14">
                  <c:v>17.018340704955872</c:v>
                </c:pt>
                <c:pt idx="15">
                  <c:v>17.018340704955872</c:v>
                </c:pt>
                <c:pt idx="16">
                  <c:v>19.873705382900571</c:v>
                </c:pt>
                <c:pt idx="17">
                  <c:v>23.972834414145439</c:v>
                </c:pt>
                <c:pt idx="18">
                  <c:v>28.071963445390288</c:v>
                </c:pt>
                <c:pt idx="19">
                  <c:v>32.173481331798889</c:v>
                </c:pt>
                <c:pt idx="20">
                  <c:v>36.272610363043754</c:v>
                </c:pt>
                <c:pt idx="21">
                  <c:v>40.371739394288618</c:v>
                </c:pt>
                <c:pt idx="22">
                  <c:v>44.470868425533467</c:v>
                </c:pt>
                <c:pt idx="23">
                  <c:v>48.569997456778317</c:v>
                </c:pt>
                <c:pt idx="24">
                  <c:v>52.669126488023188</c:v>
                </c:pt>
                <c:pt idx="25">
                  <c:v>56.768255519268052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A-3961-CF4D-862F-E2593F2C4268}"/>
            </c:ext>
          </c:extLst>
        </c:ser>
        <c:ser>
          <c:idx val="11"/>
          <c:order val="11"/>
          <c:tx>
            <c:strRef>
              <c:f>'14. Scenario Comparison'!$M$110</c:f>
              <c:strCache>
                <c:ptCount val="1"/>
                <c:pt idx="0">
                  <c:v>Pohang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'14. Scenario Comparison'!$A$111:$A$136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'14. Scenario Comparison'!$M$111:$M$136</c:f>
              <c:numCache>
                <c:formatCode>General</c:formatCode>
                <c:ptCount val="26"/>
                <c:pt idx="0">
                  <c:v>8.3191295303019998E-4</c:v>
                </c:pt>
                <c:pt idx="1">
                  <c:v>8.3191295303019998E-4</c:v>
                </c:pt>
                <c:pt idx="2">
                  <c:v>8.3191295303019998E-4</c:v>
                </c:pt>
                <c:pt idx="3">
                  <c:v>8.3191295303019998E-4</c:v>
                </c:pt>
                <c:pt idx="4">
                  <c:v>8.3191295303019998E-4</c:v>
                </c:pt>
                <c:pt idx="5">
                  <c:v>8.3191295303019998E-4</c:v>
                </c:pt>
                <c:pt idx="6">
                  <c:v>8.3191295303019998E-4</c:v>
                </c:pt>
                <c:pt idx="7">
                  <c:v>8.3191295303019998E-4</c:v>
                </c:pt>
                <c:pt idx="8">
                  <c:v>8.3191295303019998E-4</c:v>
                </c:pt>
                <c:pt idx="9">
                  <c:v>8.3191295303019998E-4</c:v>
                </c:pt>
                <c:pt idx="10">
                  <c:v>8.3191295303019998E-4</c:v>
                </c:pt>
                <c:pt idx="11">
                  <c:v>8.3191295303019998E-4</c:v>
                </c:pt>
                <c:pt idx="12">
                  <c:v>8.3191295303019998E-4</c:v>
                </c:pt>
                <c:pt idx="13">
                  <c:v>8.3191295303019998E-4</c:v>
                </c:pt>
                <c:pt idx="14">
                  <c:v>8.3191295303019998E-4</c:v>
                </c:pt>
                <c:pt idx="15">
                  <c:v>8.3191295303019998E-4</c:v>
                </c:pt>
                <c:pt idx="16">
                  <c:v>8.3191295303019998E-4</c:v>
                </c:pt>
                <c:pt idx="17">
                  <c:v>8.3191295303019998E-4</c:v>
                </c:pt>
                <c:pt idx="18">
                  <c:v>8.3191295303019998E-4</c:v>
                </c:pt>
                <c:pt idx="19">
                  <c:v>8.3191295303019998E-4</c:v>
                </c:pt>
                <c:pt idx="20">
                  <c:v>8.3191295303019998E-4</c:v>
                </c:pt>
                <c:pt idx="21">
                  <c:v>8.3191295303019998E-4</c:v>
                </c:pt>
                <c:pt idx="22">
                  <c:v>8.3191295303019998E-4</c:v>
                </c:pt>
                <c:pt idx="23">
                  <c:v>8.3191295303019998E-4</c:v>
                </c:pt>
                <c:pt idx="24">
                  <c:v>8.3191295303019998E-4</c:v>
                </c:pt>
                <c:pt idx="25">
                  <c:v>8.3191295303019998E-4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B-3961-CF4D-862F-E2593F2C4268}"/>
            </c:ext>
          </c:extLst>
        </c:ser>
        <c:ser>
          <c:idx val="12"/>
          <c:order val="12"/>
          <c:tx>
            <c:strRef>
              <c:f>'14. Scenario Comparison'!$N$110</c:f>
              <c:strCache>
                <c:ptCount val="1"/>
                <c:pt idx="0">
                  <c:v>Ulsan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'14. Scenario Comparison'!$A$111:$A$136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'14. Scenario Comparison'!$N$111:$N$136</c:f>
              <c:numCache>
                <c:formatCode>General</c:formatCode>
                <c:ptCount val="26"/>
                <c:pt idx="0">
                  <c:v>3.1105940159301868</c:v>
                </c:pt>
                <c:pt idx="1">
                  <c:v>3.1105940159301868</c:v>
                </c:pt>
                <c:pt idx="2">
                  <c:v>3.1498747398782401</c:v>
                </c:pt>
                <c:pt idx="3">
                  <c:v>3.2720714267201449</c:v>
                </c:pt>
                <c:pt idx="4">
                  <c:v>3.484796221826993</c:v>
                </c:pt>
                <c:pt idx="5">
                  <c:v>3.681614333194319</c:v>
                </c:pt>
                <c:pt idx="6">
                  <c:v>3.681614333194319</c:v>
                </c:pt>
                <c:pt idx="7">
                  <c:v>3.681614333194319</c:v>
                </c:pt>
                <c:pt idx="8">
                  <c:v>3.681614333194319</c:v>
                </c:pt>
                <c:pt idx="9">
                  <c:v>3.681614333194319</c:v>
                </c:pt>
                <c:pt idx="10">
                  <c:v>3.681614333194319</c:v>
                </c:pt>
                <c:pt idx="11">
                  <c:v>3.8008662722457149</c:v>
                </c:pt>
                <c:pt idx="12">
                  <c:v>3.9886556082601969</c:v>
                </c:pt>
                <c:pt idx="13">
                  <c:v>4.1836767316851704</c:v>
                </c:pt>
                <c:pt idx="14">
                  <c:v>4.3855831925396842</c:v>
                </c:pt>
                <c:pt idx="15">
                  <c:v>4.3855831925396842</c:v>
                </c:pt>
                <c:pt idx="16">
                  <c:v>4.7259449014917099</c:v>
                </c:pt>
                <c:pt idx="17">
                  <c:v>5.2145642967885744</c:v>
                </c:pt>
                <c:pt idx="18">
                  <c:v>5.7031836920854353</c:v>
                </c:pt>
                <c:pt idx="19">
                  <c:v>6.1920878407912943</c:v>
                </c:pt>
                <c:pt idx="20">
                  <c:v>6.680707236088157</c:v>
                </c:pt>
                <c:pt idx="21">
                  <c:v>7.1693266313850206</c:v>
                </c:pt>
                <c:pt idx="22">
                  <c:v>7.6579460266818833</c:v>
                </c:pt>
                <c:pt idx="23">
                  <c:v>8.146565421978746</c:v>
                </c:pt>
                <c:pt idx="24">
                  <c:v>8.6351848172756096</c:v>
                </c:pt>
                <c:pt idx="25">
                  <c:v>9.1238042125724714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C-3961-CF4D-862F-E2593F2C4268}"/>
            </c:ext>
          </c:extLst>
        </c:ser>
        <c:ser>
          <c:idx val="13"/>
          <c:order val="13"/>
          <c:tx>
            <c:strRef>
              <c:f>'14. Scenario Comparison'!$O$110</c:f>
              <c:strCache>
                <c:ptCount val="1"/>
                <c:pt idx="0">
                  <c:v>Yeosu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'14. Scenario Comparison'!$A$111:$A$136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'14. Scenario Comparison'!$O$111:$O$136</c:f>
              <c:numCache>
                <c:formatCode>General</c:formatCode>
                <c:ptCount val="26"/>
                <c:pt idx="0">
                  <c:v>5.2742014642545714</c:v>
                </c:pt>
                <c:pt idx="1">
                  <c:v>5.2742014642545714</c:v>
                </c:pt>
                <c:pt idx="2">
                  <c:v>5.3063140636770552</c:v>
                </c:pt>
                <c:pt idx="3">
                  <c:v>5.4062117453108831</c:v>
                </c:pt>
                <c:pt idx="4">
                  <c:v>5.580117555741726</c:v>
                </c:pt>
                <c:pt idx="5">
                  <c:v>6.4902469995700098</c:v>
                </c:pt>
                <c:pt idx="6">
                  <c:v>6.4902469995700098</c:v>
                </c:pt>
                <c:pt idx="7">
                  <c:v>6.4902469995700098</c:v>
                </c:pt>
                <c:pt idx="8">
                  <c:v>6.4902469995700098</c:v>
                </c:pt>
                <c:pt idx="9">
                  <c:v>6.4902469995700098</c:v>
                </c:pt>
                <c:pt idx="10">
                  <c:v>6.4902469995700098</c:v>
                </c:pt>
                <c:pt idx="11">
                  <c:v>7.0416937145612444</c:v>
                </c:pt>
                <c:pt idx="12">
                  <c:v>7.9100721516694241</c:v>
                </c:pt>
                <c:pt idx="13">
                  <c:v>8.8118919352475515</c:v>
                </c:pt>
                <c:pt idx="14">
                  <c:v>9.7455510057784078</c:v>
                </c:pt>
                <c:pt idx="15">
                  <c:v>9.7455510057784078</c:v>
                </c:pt>
                <c:pt idx="16">
                  <c:v>11.31945703869839</c:v>
                </c:pt>
                <c:pt idx="17">
                  <c:v>13.57893862500058</c:v>
                </c:pt>
                <c:pt idx="18">
                  <c:v>15.838420211302751</c:v>
                </c:pt>
                <c:pt idx="19">
                  <c:v>18.099218558851941</c:v>
                </c:pt>
                <c:pt idx="20">
                  <c:v>20.358700145154131</c:v>
                </c:pt>
                <c:pt idx="21">
                  <c:v>22.618181731456311</c:v>
                </c:pt>
                <c:pt idx="22">
                  <c:v>24.87766331775849</c:v>
                </c:pt>
                <c:pt idx="23">
                  <c:v>27.137144904060669</c:v>
                </c:pt>
                <c:pt idx="24">
                  <c:v>29.396626490362859</c:v>
                </c:pt>
                <c:pt idx="25">
                  <c:v>31.656108076665038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D-3961-CF4D-862F-E2593F2C42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Year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Demand (TWh)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11</xdr:col>
      <xdr:colOff>419100</xdr:colOff>
      <xdr:row>6</xdr:row>
      <xdr:rowOff>165100</xdr:rowOff>
    </xdr:from>
    <xdr:ext cx="8115300" cy="41021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D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5</xdr:col>
      <xdr:colOff>0</xdr:colOff>
      <xdr:row>24</xdr:row>
      <xdr:rowOff>0</xdr:rowOff>
    </xdr:from>
    <xdr:ext cx="5400000" cy="270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D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7"/>
  <sheetViews>
    <sheetView workbookViewId="0">
      <selection activeCell="C35" sqref="C35"/>
    </sheetView>
  </sheetViews>
  <sheetFormatPr baseColWidth="10" defaultColWidth="8.83203125" defaultRowHeight="15" x14ac:dyDescent="0.2"/>
  <cols>
    <col min="1" max="1" width="30" customWidth="1"/>
    <col min="2" max="2" width="35" customWidth="1"/>
    <col min="3" max="3" width="40" customWidth="1"/>
  </cols>
  <sheetData>
    <row r="1" spans="1:8" ht="21" x14ac:dyDescent="0.25">
      <c r="A1" s="10" t="s">
        <v>0</v>
      </c>
      <c r="B1" s="11"/>
      <c r="C1" s="11"/>
      <c r="D1" s="11"/>
      <c r="E1" s="11"/>
      <c r="F1" s="11"/>
      <c r="G1" s="11"/>
      <c r="H1" s="11"/>
    </row>
    <row r="3" spans="1:8" ht="16" x14ac:dyDescent="0.2">
      <c r="A3" s="1" t="s">
        <v>1</v>
      </c>
    </row>
    <row r="5" spans="1:8" x14ac:dyDescent="0.2">
      <c r="A5" s="2" t="s">
        <v>2</v>
      </c>
      <c r="B5" t="s">
        <v>3</v>
      </c>
    </row>
    <row r="6" spans="1:8" x14ac:dyDescent="0.2">
      <c r="A6" s="2" t="s">
        <v>4</v>
      </c>
      <c r="B6" t="s">
        <v>5</v>
      </c>
    </row>
    <row r="7" spans="1:8" x14ac:dyDescent="0.2">
      <c r="A7" s="2" t="s">
        <v>6</v>
      </c>
      <c r="B7" t="s">
        <v>7</v>
      </c>
    </row>
    <row r="8" spans="1:8" x14ac:dyDescent="0.2">
      <c r="A8" s="2" t="s">
        <v>8</v>
      </c>
      <c r="B8" t="s">
        <v>9</v>
      </c>
    </row>
    <row r="9" spans="1:8" x14ac:dyDescent="0.2">
      <c r="A9" s="2" t="s">
        <v>10</v>
      </c>
      <c r="B9" t="s">
        <v>11</v>
      </c>
    </row>
    <row r="10" spans="1:8" x14ac:dyDescent="0.2">
      <c r="A10" s="2" t="s">
        <v>12</v>
      </c>
      <c r="B10" t="s">
        <v>13</v>
      </c>
    </row>
    <row r="11" spans="1:8" x14ac:dyDescent="0.2">
      <c r="A11" s="2" t="s">
        <v>14</v>
      </c>
      <c r="B11" t="s">
        <v>15</v>
      </c>
    </row>
    <row r="13" spans="1:8" ht="16" x14ac:dyDescent="0.2">
      <c r="A13" s="1" t="s">
        <v>16</v>
      </c>
    </row>
    <row r="15" spans="1:8" x14ac:dyDescent="0.2">
      <c r="A15" s="2" t="s">
        <v>17</v>
      </c>
      <c r="B15" t="s">
        <v>18</v>
      </c>
    </row>
    <row r="16" spans="1:8" x14ac:dyDescent="0.2">
      <c r="A16" s="2" t="s">
        <v>19</v>
      </c>
      <c r="B16" t="s">
        <v>20</v>
      </c>
    </row>
    <row r="17" spans="1:3" x14ac:dyDescent="0.2">
      <c r="A17" s="2" t="s">
        <v>21</v>
      </c>
      <c r="B17" t="s">
        <v>22</v>
      </c>
    </row>
    <row r="18" spans="1:3" x14ac:dyDescent="0.2">
      <c r="A18" s="2" t="s">
        <v>23</v>
      </c>
      <c r="B18" t="s">
        <v>24</v>
      </c>
    </row>
    <row r="19" spans="1:3" x14ac:dyDescent="0.2">
      <c r="A19" s="2" t="s">
        <v>25</v>
      </c>
      <c r="B19" t="s">
        <v>26</v>
      </c>
    </row>
    <row r="22" spans="1:3" ht="16" x14ac:dyDescent="0.2">
      <c r="A22" s="1" t="s">
        <v>27</v>
      </c>
    </row>
    <row r="24" spans="1:3" ht="16" x14ac:dyDescent="0.2">
      <c r="A24" s="3" t="s">
        <v>28</v>
      </c>
      <c r="B24" s="3" t="s">
        <v>29</v>
      </c>
      <c r="C24" s="3" t="s">
        <v>30</v>
      </c>
    </row>
    <row r="25" spans="1:3" x14ac:dyDescent="0.2">
      <c r="A25" t="s">
        <v>31</v>
      </c>
      <c r="B25" t="s">
        <v>32</v>
      </c>
      <c r="C25" t="s">
        <v>33</v>
      </c>
    </row>
    <row r="26" spans="1:3" x14ac:dyDescent="0.2">
      <c r="A26" t="s">
        <v>34</v>
      </c>
      <c r="B26" t="s">
        <v>35</v>
      </c>
      <c r="C26" t="s">
        <v>36</v>
      </c>
    </row>
    <row r="27" spans="1:3" x14ac:dyDescent="0.2">
      <c r="A27" t="s">
        <v>37</v>
      </c>
      <c r="B27" t="s">
        <v>38</v>
      </c>
      <c r="C27" t="s">
        <v>39</v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63"/>
  <sheetViews>
    <sheetView workbookViewId="0"/>
  </sheetViews>
  <sheetFormatPr baseColWidth="10" defaultColWidth="8.83203125" defaultRowHeight="15" x14ac:dyDescent="0.2"/>
  <cols>
    <col min="1" max="1" width="20" customWidth="1"/>
    <col min="2" max="3" width="25" customWidth="1"/>
    <col min="4" max="4" width="45" customWidth="1"/>
    <col min="5" max="5" width="10" customWidth="1"/>
    <col min="6" max="6" width="12" customWidth="1"/>
  </cols>
  <sheetData>
    <row r="1" spans="1:4" ht="19" x14ac:dyDescent="0.25">
      <c r="A1" s="4" t="s">
        <v>40</v>
      </c>
    </row>
    <row r="3" spans="1:4" ht="16" x14ac:dyDescent="0.2">
      <c r="A3" s="1" t="s">
        <v>41</v>
      </c>
    </row>
    <row r="5" spans="1:4" ht="16" x14ac:dyDescent="0.2">
      <c r="A5" s="3" t="s">
        <v>42</v>
      </c>
      <c r="B5" s="3" t="s">
        <v>43</v>
      </c>
      <c r="C5" s="3" t="s">
        <v>44</v>
      </c>
      <c r="D5" s="3" t="s">
        <v>45</v>
      </c>
    </row>
    <row r="6" spans="1:4" x14ac:dyDescent="0.2">
      <c r="A6" t="s">
        <v>46</v>
      </c>
      <c r="B6" t="s">
        <v>47</v>
      </c>
      <c r="C6" t="s">
        <v>48</v>
      </c>
      <c r="D6" t="s">
        <v>49</v>
      </c>
    </row>
    <row r="7" spans="1:4" x14ac:dyDescent="0.2">
      <c r="A7" t="s">
        <v>50</v>
      </c>
      <c r="B7" t="s">
        <v>51</v>
      </c>
      <c r="C7" t="s">
        <v>48</v>
      </c>
      <c r="D7" t="s">
        <v>49</v>
      </c>
    </row>
    <row r="8" spans="1:4" x14ac:dyDescent="0.2">
      <c r="A8" t="s">
        <v>52</v>
      </c>
      <c r="B8" t="s">
        <v>53</v>
      </c>
      <c r="C8" t="s">
        <v>48</v>
      </c>
      <c r="D8" t="s">
        <v>54</v>
      </c>
    </row>
    <row r="9" spans="1:4" x14ac:dyDescent="0.2">
      <c r="A9" t="s">
        <v>55</v>
      </c>
      <c r="B9" t="s">
        <v>56</v>
      </c>
      <c r="C9" t="s">
        <v>48</v>
      </c>
      <c r="D9" t="s">
        <v>57</v>
      </c>
    </row>
    <row r="10" spans="1:4" x14ac:dyDescent="0.2">
      <c r="A10" t="s">
        <v>58</v>
      </c>
      <c r="B10" t="s">
        <v>59</v>
      </c>
      <c r="C10" t="s">
        <v>48</v>
      </c>
      <c r="D10" t="s">
        <v>49</v>
      </c>
    </row>
    <row r="11" spans="1:4" x14ac:dyDescent="0.2">
      <c r="A11" t="s">
        <v>60</v>
      </c>
      <c r="B11" t="s">
        <v>61</v>
      </c>
      <c r="C11" t="s">
        <v>48</v>
      </c>
      <c r="D11" t="s">
        <v>49</v>
      </c>
    </row>
    <row r="12" spans="1:4" x14ac:dyDescent="0.2">
      <c r="A12" t="s">
        <v>62</v>
      </c>
      <c r="B12" t="s">
        <v>63</v>
      </c>
      <c r="C12" t="s">
        <v>48</v>
      </c>
      <c r="D12" t="s">
        <v>49</v>
      </c>
    </row>
    <row r="13" spans="1:4" x14ac:dyDescent="0.2">
      <c r="A13" t="s">
        <v>64</v>
      </c>
      <c r="B13" t="s">
        <v>65</v>
      </c>
      <c r="C13" t="s">
        <v>66</v>
      </c>
      <c r="D13" t="s">
        <v>67</v>
      </c>
    </row>
    <row r="16" spans="1:4" ht="16" x14ac:dyDescent="0.2">
      <c r="A16" s="1" t="s">
        <v>68</v>
      </c>
    </row>
    <row r="17" spans="1:6" x14ac:dyDescent="0.2">
      <c r="A17" s="5" t="s">
        <v>69</v>
      </c>
    </row>
    <row r="19" spans="1:6" ht="16" x14ac:dyDescent="0.2">
      <c r="A19" s="3" t="s">
        <v>70</v>
      </c>
      <c r="B19" s="3" t="s">
        <v>71</v>
      </c>
      <c r="C19" s="3" t="s">
        <v>72</v>
      </c>
    </row>
    <row r="20" spans="1:6" x14ac:dyDescent="0.2">
      <c r="A20">
        <v>2025</v>
      </c>
      <c r="B20">
        <v>0.436</v>
      </c>
      <c r="C20" t="s">
        <v>73</v>
      </c>
    </row>
    <row r="21" spans="1:6" x14ac:dyDescent="0.2">
      <c r="A21">
        <v>2030</v>
      </c>
      <c r="B21">
        <v>0.34899999999999998</v>
      </c>
      <c r="C21" t="s">
        <v>74</v>
      </c>
    </row>
    <row r="22" spans="1:6" x14ac:dyDescent="0.2">
      <c r="A22">
        <v>2035</v>
      </c>
      <c r="B22">
        <v>0.28000000000000003</v>
      </c>
      <c r="C22" t="s">
        <v>75</v>
      </c>
    </row>
    <row r="23" spans="1:6" x14ac:dyDescent="0.2">
      <c r="A23">
        <v>2040</v>
      </c>
      <c r="B23">
        <v>0.14000000000000001</v>
      </c>
      <c r="C23" t="s">
        <v>76</v>
      </c>
    </row>
    <row r="24" spans="1:6" x14ac:dyDescent="0.2">
      <c r="A24">
        <v>2045</v>
      </c>
      <c r="B24">
        <v>7.0000000000000007E-2</v>
      </c>
      <c r="C24" t="s">
        <v>77</v>
      </c>
    </row>
    <row r="25" spans="1:6" x14ac:dyDescent="0.2">
      <c r="A25">
        <v>2050</v>
      </c>
      <c r="B25">
        <v>0</v>
      </c>
      <c r="C25" t="s">
        <v>78</v>
      </c>
    </row>
    <row r="28" spans="1:6" ht="16" x14ac:dyDescent="0.2">
      <c r="A28" s="1" t="s">
        <v>79</v>
      </c>
    </row>
    <row r="30" spans="1:6" ht="16" x14ac:dyDescent="0.2">
      <c r="A30" s="3" t="s">
        <v>28</v>
      </c>
      <c r="B30" s="3" t="s">
        <v>80</v>
      </c>
      <c r="C30" s="3" t="s">
        <v>81</v>
      </c>
      <c r="D30" s="3" t="s">
        <v>45</v>
      </c>
      <c r="E30" s="3" t="s">
        <v>82</v>
      </c>
      <c r="F30" s="3" t="s">
        <v>83</v>
      </c>
    </row>
    <row r="31" spans="1:6" x14ac:dyDescent="0.2">
      <c r="A31" t="s">
        <v>34</v>
      </c>
      <c r="B31" t="s">
        <v>84</v>
      </c>
      <c r="C31" t="s">
        <v>85</v>
      </c>
      <c r="D31" t="s">
        <v>86</v>
      </c>
      <c r="E31" t="s">
        <v>87</v>
      </c>
      <c r="F31" t="s">
        <v>9</v>
      </c>
    </row>
    <row r="32" spans="1:6" x14ac:dyDescent="0.2">
      <c r="A32" t="s">
        <v>34</v>
      </c>
      <c r="B32" t="s">
        <v>88</v>
      </c>
      <c r="C32" t="s">
        <v>89</v>
      </c>
      <c r="D32" t="s">
        <v>90</v>
      </c>
    </row>
    <row r="33" spans="1:6" x14ac:dyDescent="0.2">
      <c r="A33" t="s">
        <v>34</v>
      </c>
      <c r="B33" t="s">
        <v>91</v>
      </c>
      <c r="C33" t="s">
        <v>92</v>
      </c>
      <c r="D33" t="s">
        <v>93</v>
      </c>
    </row>
    <row r="34" spans="1:6" x14ac:dyDescent="0.2">
      <c r="A34" t="s">
        <v>31</v>
      </c>
      <c r="B34" t="s">
        <v>94</v>
      </c>
      <c r="C34" t="s">
        <v>95</v>
      </c>
      <c r="D34" t="s">
        <v>96</v>
      </c>
      <c r="E34" t="s">
        <v>97</v>
      </c>
      <c r="F34" t="s">
        <v>98</v>
      </c>
    </row>
    <row r="35" spans="1:6" x14ac:dyDescent="0.2">
      <c r="A35" t="s">
        <v>31</v>
      </c>
      <c r="B35" t="s">
        <v>88</v>
      </c>
      <c r="C35" t="s">
        <v>99</v>
      </c>
      <c r="D35" t="s">
        <v>100</v>
      </c>
    </row>
    <row r="36" spans="1:6" x14ac:dyDescent="0.2">
      <c r="A36" t="s">
        <v>31</v>
      </c>
      <c r="B36" t="s">
        <v>91</v>
      </c>
      <c r="C36" t="s">
        <v>101</v>
      </c>
      <c r="D36" t="s">
        <v>102</v>
      </c>
    </row>
    <row r="37" spans="1:6" x14ac:dyDescent="0.2">
      <c r="A37" t="s">
        <v>103</v>
      </c>
      <c r="B37" t="s">
        <v>104</v>
      </c>
      <c r="C37" t="s">
        <v>105</v>
      </c>
      <c r="D37" t="s">
        <v>106</v>
      </c>
      <c r="E37" t="s">
        <v>107</v>
      </c>
      <c r="F37" t="s">
        <v>98</v>
      </c>
    </row>
    <row r="38" spans="1:6" x14ac:dyDescent="0.2">
      <c r="A38" t="s">
        <v>103</v>
      </c>
      <c r="B38" t="s">
        <v>88</v>
      </c>
      <c r="C38" t="s">
        <v>108</v>
      </c>
      <c r="D38" t="s">
        <v>109</v>
      </c>
    </row>
    <row r="39" spans="1:6" x14ac:dyDescent="0.2">
      <c r="A39" t="s">
        <v>103</v>
      </c>
      <c r="B39" t="s">
        <v>91</v>
      </c>
      <c r="C39" t="s">
        <v>110</v>
      </c>
      <c r="D39" t="s">
        <v>111</v>
      </c>
    </row>
    <row r="40" spans="1:6" x14ac:dyDescent="0.2">
      <c r="A40" t="s">
        <v>112</v>
      </c>
      <c r="B40" t="s">
        <v>113</v>
      </c>
      <c r="C40" t="s">
        <v>114</v>
      </c>
      <c r="D40" t="s">
        <v>115</v>
      </c>
      <c r="E40" t="s">
        <v>97</v>
      </c>
      <c r="F40" t="s">
        <v>116</v>
      </c>
    </row>
    <row r="41" spans="1:6" x14ac:dyDescent="0.2">
      <c r="A41" t="s">
        <v>112</v>
      </c>
      <c r="B41" t="s">
        <v>117</v>
      </c>
      <c r="C41" t="s">
        <v>118</v>
      </c>
      <c r="D41" t="s">
        <v>115</v>
      </c>
    </row>
    <row r="42" spans="1:6" x14ac:dyDescent="0.2">
      <c r="A42" t="s">
        <v>37</v>
      </c>
      <c r="B42" t="s">
        <v>119</v>
      </c>
      <c r="C42" t="s">
        <v>120</v>
      </c>
      <c r="D42" t="s">
        <v>3</v>
      </c>
      <c r="E42" t="s">
        <v>121</v>
      </c>
      <c r="F42" t="s">
        <v>9</v>
      </c>
    </row>
    <row r="43" spans="1:6" x14ac:dyDescent="0.2">
      <c r="A43" t="s">
        <v>37</v>
      </c>
      <c r="B43" t="s">
        <v>122</v>
      </c>
      <c r="C43" t="s">
        <v>123</v>
      </c>
      <c r="D43" t="s">
        <v>3</v>
      </c>
    </row>
    <row r="46" spans="1:6" ht="16" x14ac:dyDescent="0.2">
      <c r="A46" s="1" t="s">
        <v>124</v>
      </c>
    </row>
    <row r="48" spans="1:6" ht="16" x14ac:dyDescent="0.2">
      <c r="A48" s="3" t="s">
        <v>70</v>
      </c>
      <c r="B48" s="3" t="s">
        <v>125</v>
      </c>
      <c r="C48" s="3" t="s">
        <v>126</v>
      </c>
      <c r="D48" s="3" t="s">
        <v>127</v>
      </c>
    </row>
    <row r="49" spans="1:4" x14ac:dyDescent="0.2">
      <c r="A49">
        <v>2025</v>
      </c>
      <c r="B49">
        <v>100</v>
      </c>
      <c r="C49">
        <v>65</v>
      </c>
      <c r="D49">
        <v>4.58</v>
      </c>
    </row>
    <row r="50" spans="1:4" x14ac:dyDescent="0.2">
      <c r="A50">
        <v>2030</v>
      </c>
      <c r="B50">
        <v>118.28</v>
      </c>
      <c r="C50">
        <v>55.69</v>
      </c>
      <c r="D50">
        <v>3.91</v>
      </c>
    </row>
    <row r="51" spans="1:4" x14ac:dyDescent="0.2">
      <c r="A51">
        <v>2035</v>
      </c>
      <c r="B51">
        <v>136.55000000000001</v>
      </c>
      <c r="C51">
        <v>47.71</v>
      </c>
      <c r="D51">
        <v>3.33</v>
      </c>
    </row>
    <row r="52" spans="1:4" x14ac:dyDescent="0.2">
      <c r="A52">
        <v>2040</v>
      </c>
      <c r="B52">
        <v>154.83000000000001</v>
      </c>
      <c r="C52">
        <v>40.869999999999997</v>
      </c>
      <c r="D52">
        <v>2.82</v>
      </c>
    </row>
    <row r="53" spans="1:4" x14ac:dyDescent="0.2">
      <c r="A53">
        <v>2045</v>
      </c>
      <c r="B53">
        <v>173.1</v>
      </c>
      <c r="C53">
        <v>35.020000000000003</v>
      </c>
      <c r="D53">
        <v>2.39</v>
      </c>
    </row>
    <row r="54" spans="1:4" x14ac:dyDescent="0.2">
      <c r="A54">
        <v>2050</v>
      </c>
      <c r="B54">
        <v>191.38</v>
      </c>
      <c r="C54">
        <v>30</v>
      </c>
      <c r="D54">
        <v>2.0099999999999998</v>
      </c>
    </row>
    <row r="55" spans="1:4" x14ac:dyDescent="0.2">
      <c r="A55" s="5" t="s">
        <v>128</v>
      </c>
    </row>
    <row r="57" spans="1:4" ht="16" x14ac:dyDescent="0.2">
      <c r="A57" s="1" t="s">
        <v>129</v>
      </c>
    </row>
    <row r="59" spans="1:4" ht="16" x14ac:dyDescent="0.2">
      <c r="A59" s="3" t="s">
        <v>130</v>
      </c>
      <c r="B59" s="3" t="s">
        <v>131</v>
      </c>
      <c r="C59" s="3" t="s">
        <v>132</v>
      </c>
      <c r="D59" s="3" t="s">
        <v>133</v>
      </c>
    </row>
    <row r="60" spans="1:4" x14ac:dyDescent="0.2">
      <c r="A60" t="s">
        <v>134</v>
      </c>
      <c r="B60" t="s">
        <v>135</v>
      </c>
      <c r="C60" t="s">
        <v>136</v>
      </c>
      <c r="D60" t="s">
        <v>137</v>
      </c>
    </row>
    <row r="61" spans="1:4" x14ac:dyDescent="0.2">
      <c r="A61" t="s">
        <v>138</v>
      </c>
      <c r="B61" t="s">
        <v>139</v>
      </c>
      <c r="C61" t="s">
        <v>136</v>
      </c>
      <c r="D61" t="s">
        <v>140</v>
      </c>
    </row>
    <row r="62" spans="1:4" x14ac:dyDescent="0.2">
      <c r="A62" t="s">
        <v>141</v>
      </c>
      <c r="B62" t="s">
        <v>142</v>
      </c>
      <c r="C62" t="s">
        <v>136</v>
      </c>
      <c r="D62" t="s">
        <v>143</v>
      </c>
    </row>
    <row r="63" spans="1:4" x14ac:dyDescent="0.2">
      <c r="A63" t="s">
        <v>144</v>
      </c>
      <c r="B63" t="s">
        <v>145</v>
      </c>
      <c r="C63" t="s">
        <v>136</v>
      </c>
      <c r="D63" t="s">
        <v>146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45"/>
  <sheetViews>
    <sheetView workbookViewId="0"/>
  </sheetViews>
  <sheetFormatPr baseColWidth="10" defaultColWidth="8.83203125" defaultRowHeight="15" x14ac:dyDescent="0.2"/>
  <cols>
    <col min="1" max="1" width="25" customWidth="1"/>
    <col min="2" max="2" width="20" customWidth="1"/>
    <col min="3" max="3" width="15" customWidth="1"/>
  </cols>
  <sheetData>
    <row r="1" spans="1:3" ht="19" x14ac:dyDescent="0.25">
      <c r="A1" s="4" t="s">
        <v>147</v>
      </c>
    </row>
    <row r="2" spans="1:3" x14ac:dyDescent="0.2">
      <c r="A2" s="5" t="s">
        <v>148</v>
      </c>
    </row>
    <row r="4" spans="1:3" ht="16" x14ac:dyDescent="0.2">
      <c r="A4" s="6" t="s">
        <v>149</v>
      </c>
    </row>
    <row r="6" spans="1:3" x14ac:dyDescent="0.2">
      <c r="A6" s="2" t="s">
        <v>150</v>
      </c>
      <c r="B6">
        <v>256</v>
      </c>
    </row>
    <row r="7" spans="1:3" x14ac:dyDescent="0.2">
      <c r="A7" s="2" t="s">
        <v>151</v>
      </c>
      <c r="B7" t="s">
        <v>152</v>
      </c>
    </row>
    <row r="8" spans="1:3" x14ac:dyDescent="0.2">
      <c r="A8" s="2" t="s">
        <v>153</v>
      </c>
      <c r="B8" t="s">
        <v>154</v>
      </c>
    </row>
    <row r="9" spans="1:3" x14ac:dyDescent="0.2">
      <c r="A9" s="2" t="s">
        <v>155</v>
      </c>
      <c r="B9">
        <v>55</v>
      </c>
    </row>
    <row r="10" spans="1:3" x14ac:dyDescent="0.2">
      <c r="A10" s="2" t="s">
        <v>156</v>
      </c>
      <c r="B10">
        <v>61</v>
      </c>
    </row>
    <row r="13" spans="1:3" ht="16" x14ac:dyDescent="0.2">
      <c r="A13" s="6" t="s">
        <v>157</v>
      </c>
    </row>
    <row r="15" spans="1:3" ht="16" x14ac:dyDescent="0.2">
      <c r="A15" s="3" t="s">
        <v>158</v>
      </c>
      <c r="B15" s="3" t="s">
        <v>159</v>
      </c>
      <c r="C15" s="3" t="s">
        <v>160</v>
      </c>
    </row>
    <row r="16" spans="1:3" x14ac:dyDescent="0.2">
      <c r="A16" t="s">
        <v>161</v>
      </c>
      <c r="B16" t="s">
        <v>162</v>
      </c>
      <c r="C16" t="s">
        <v>163</v>
      </c>
    </row>
    <row r="17" spans="1:3" x14ac:dyDescent="0.2">
      <c r="A17" t="s">
        <v>164</v>
      </c>
      <c r="B17" t="s">
        <v>165</v>
      </c>
      <c r="C17" t="s">
        <v>166</v>
      </c>
    </row>
    <row r="18" spans="1:3" x14ac:dyDescent="0.2">
      <c r="A18" t="s">
        <v>167</v>
      </c>
      <c r="B18" t="s">
        <v>168</v>
      </c>
      <c r="C18" t="s">
        <v>169</v>
      </c>
    </row>
    <row r="19" spans="1:3" x14ac:dyDescent="0.2">
      <c r="A19" t="s">
        <v>170</v>
      </c>
      <c r="B19" t="s">
        <v>171</v>
      </c>
      <c r="C19" t="s">
        <v>172</v>
      </c>
    </row>
    <row r="20" spans="1:3" x14ac:dyDescent="0.2">
      <c r="A20" t="s">
        <v>173</v>
      </c>
      <c r="B20" t="s">
        <v>174</v>
      </c>
      <c r="C20" t="s">
        <v>175</v>
      </c>
    </row>
    <row r="21" spans="1:3" x14ac:dyDescent="0.2">
      <c r="A21" t="s">
        <v>176</v>
      </c>
      <c r="B21" t="s">
        <v>177</v>
      </c>
      <c r="C21" t="s">
        <v>178</v>
      </c>
    </row>
    <row r="22" spans="1:3" x14ac:dyDescent="0.2">
      <c r="A22" t="s">
        <v>179</v>
      </c>
      <c r="B22" t="s">
        <v>180</v>
      </c>
      <c r="C22" t="s">
        <v>181</v>
      </c>
    </row>
    <row r="23" spans="1:3" x14ac:dyDescent="0.2">
      <c r="A23" t="s">
        <v>182</v>
      </c>
      <c r="B23" t="s">
        <v>183</v>
      </c>
      <c r="C23" t="s">
        <v>184</v>
      </c>
    </row>
    <row r="24" spans="1:3" x14ac:dyDescent="0.2">
      <c r="A24" t="s">
        <v>185</v>
      </c>
      <c r="B24" t="s">
        <v>186</v>
      </c>
      <c r="C24" t="s">
        <v>187</v>
      </c>
    </row>
    <row r="25" spans="1:3" x14ac:dyDescent="0.2">
      <c r="A25" t="s">
        <v>188</v>
      </c>
      <c r="B25" t="s">
        <v>189</v>
      </c>
      <c r="C25" t="s">
        <v>187</v>
      </c>
    </row>
    <row r="28" spans="1:3" ht="16" x14ac:dyDescent="0.2">
      <c r="A28" s="6" t="s">
        <v>190</v>
      </c>
    </row>
    <row r="30" spans="1:3" ht="16" x14ac:dyDescent="0.2">
      <c r="A30" s="3" t="s">
        <v>191</v>
      </c>
      <c r="B30" s="3" t="s">
        <v>159</v>
      </c>
    </row>
    <row r="31" spans="1:3" x14ac:dyDescent="0.2">
      <c r="A31" t="s">
        <v>192</v>
      </c>
      <c r="B31" t="s">
        <v>193</v>
      </c>
    </row>
    <row r="32" spans="1:3" x14ac:dyDescent="0.2">
      <c r="A32" t="s">
        <v>194</v>
      </c>
      <c r="B32" t="s">
        <v>195</v>
      </c>
    </row>
    <row r="33" spans="1:2" x14ac:dyDescent="0.2">
      <c r="A33" t="s">
        <v>196</v>
      </c>
      <c r="B33" t="s">
        <v>197</v>
      </c>
    </row>
    <row r="34" spans="1:2" x14ac:dyDescent="0.2">
      <c r="A34" t="s">
        <v>198</v>
      </c>
      <c r="B34" t="s">
        <v>199</v>
      </c>
    </row>
    <row r="35" spans="1:2" x14ac:dyDescent="0.2">
      <c r="A35" t="s">
        <v>200</v>
      </c>
      <c r="B35" t="s">
        <v>201</v>
      </c>
    </row>
    <row r="36" spans="1:2" x14ac:dyDescent="0.2">
      <c r="A36" t="s">
        <v>202</v>
      </c>
      <c r="B36" t="s">
        <v>203</v>
      </c>
    </row>
    <row r="37" spans="1:2" x14ac:dyDescent="0.2">
      <c r="A37" t="s">
        <v>204</v>
      </c>
      <c r="B37" t="s">
        <v>205</v>
      </c>
    </row>
    <row r="38" spans="1:2" x14ac:dyDescent="0.2">
      <c r="A38" t="s">
        <v>206</v>
      </c>
      <c r="B38" t="s">
        <v>207</v>
      </c>
    </row>
    <row r="39" spans="1:2" x14ac:dyDescent="0.2">
      <c r="A39" t="s">
        <v>208</v>
      </c>
      <c r="B39" t="s">
        <v>209</v>
      </c>
    </row>
    <row r="40" spans="1:2" x14ac:dyDescent="0.2">
      <c r="A40" t="s">
        <v>210</v>
      </c>
      <c r="B40" t="s">
        <v>211</v>
      </c>
    </row>
    <row r="41" spans="1:2" x14ac:dyDescent="0.2">
      <c r="A41" t="s">
        <v>212</v>
      </c>
      <c r="B41" t="s">
        <v>213</v>
      </c>
    </row>
    <row r="42" spans="1:2" x14ac:dyDescent="0.2">
      <c r="A42" t="s">
        <v>214</v>
      </c>
      <c r="B42" t="s">
        <v>215</v>
      </c>
    </row>
    <row r="43" spans="1:2" x14ac:dyDescent="0.2">
      <c r="A43" t="s">
        <v>216</v>
      </c>
      <c r="B43" t="s">
        <v>217</v>
      </c>
    </row>
    <row r="44" spans="1:2" x14ac:dyDescent="0.2">
      <c r="A44" t="s">
        <v>218</v>
      </c>
      <c r="B44" t="s">
        <v>219</v>
      </c>
    </row>
    <row r="45" spans="1:2" x14ac:dyDescent="0.2">
      <c r="A45" t="s">
        <v>220</v>
      </c>
      <c r="B45" t="s">
        <v>221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29"/>
  <sheetViews>
    <sheetView workbookViewId="0"/>
  </sheetViews>
  <sheetFormatPr baseColWidth="10" defaultColWidth="8.83203125" defaultRowHeight="15" x14ac:dyDescent="0.2"/>
  <cols>
    <col min="1" max="1" width="40" customWidth="1"/>
    <col min="2" max="2" width="50" customWidth="1"/>
  </cols>
  <sheetData>
    <row r="1" spans="1:2" ht="19" x14ac:dyDescent="0.25">
      <c r="A1" s="4" t="s">
        <v>222</v>
      </c>
    </row>
    <row r="3" spans="1:2" ht="16" x14ac:dyDescent="0.2">
      <c r="A3" s="1" t="s">
        <v>223</v>
      </c>
    </row>
    <row r="5" spans="1:2" x14ac:dyDescent="0.2">
      <c r="A5" t="s">
        <v>224</v>
      </c>
      <c r="B5" s="7" t="s">
        <v>225</v>
      </c>
    </row>
    <row r="7" spans="1:2" x14ac:dyDescent="0.2">
      <c r="A7" t="s">
        <v>226</v>
      </c>
    </row>
    <row r="8" spans="1:2" x14ac:dyDescent="0.2">
      <c r="A8" t="s">
        <v>227</v>
      </c>
    </row>
    <row r="9" spans="1:2" x14ac:dyDescent="0.2">
      <c r="A9" t="s">
        <v>228</v>
      </c>
    </row>
    <row r="10" spans="1:2" x14ac:dyDescent="0.2">
      <c r="A10" t="s">
        <v>229</v>
      </c>
    </row>
    <row r="12" spans="1:2" ht="16" x14ac:dyDescent="0.2">
      <c r="A12" s="1" t="s">
        <v>230</v>
      </c>
    </row>
    <row r="14" spans="1:2" x14ac:dyDescent="0.2">
      <c r="A14" s="2" t="s">
        <v>231</v>
      </c>
    </row>
    <row r="15" spans="1:2" x14ac:dyDescent="0.2">
      <c r="A15" t="s">
        <v>232</v>
      </c>
    </row>
    <row r="16" spans="1:2" x14ac:dyDescent="0.2">
      <c r="A16" t="s">
        <v>233</v>
      </c>
    </row>
    <row r="17" spans="1:2" x14ac:dyDescent="0.2">
      <c r="A17" t="s">
        <v>234</v>
      </c>
    </row>
    <row r="19" spans="1:2" ht="16" x14ac:dyDescent="0.2">
      <c r="A19" s="1" t="s">
        <v>235</v>
      </c>
    </row>
    <row r="21" spans="1:2" x14ac:dyDescent="0.2">
      <c r="A21" t="s">
        <v>224</v>
      </c>
    </row>
    <row r="22" spans="1:2" x14ac:dyDescent="0.2">
      <c r="A22" s="7" t="s">
        <v>236</v>
      </c>
    </row>
    <row r="23" spans="1:2" x14ac:dyDescent="0.2">
      <c r="A23" s="7" t="s">
        <v>237</v>
      </c>
    </row>
    <row r="25" spans="1:2" ht="16" x14ac:dyDescent="0.2">
      <c r="A25" s="1" t="s">
        <v>238</v>
      </c>
    </row>
    <row r="27" spans="1:2" x14ac:dyDescent="0.2">
      <c r="A27" s="2" t="s">
        <v>239</v>
      </c>
      <c r="B27" t="s">
        <v>240</v>
      </c>
    </row>
    <row r="28" spans="1:2" x14ac:dyDescent="0.2">
      <c r="A28" s="2" t="s">
        <v>241</v>
      </c>
      <c r="B28" t="s">
        <v>242</v>
      </c>
    </row>
    <row r="29" spans="1:2" x14ac:dyDescent="0.2">
      <c r="A29" s="2" t="s">
        <v>243</v>
      </c>
      <c r="B29" t="s">
        <v>244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30"/>
  <sheetViews>
    <sheetView workbookViewId="0"/>
  </sheetViews>
  <sheetFormatPr baseColWidth="10" defaultColWidth="8.83203125" defaultRowHeight="15" x14ac:dyDescent="0.2"/>
  <cols>
    <col min="1" max="6" width="22" customWidth="1"/>
  </cols>
  <sheetData>
    <row r="1" spans="1:6" ht="19" x14ac:dyDescent="0.25">
      <c r="A1" s="4" t="s">
        <v>245</v>
      </c>
    </row>
    <row r="2" spans="1:6" x14ac:dyDescent="0.2">
      <c r="A2" s="5" t="s">
        <v>246</v>
      </c>
    </row>
    <row r="4" spans="1:6" ht="16" x14ac:dyDescent="0.2">
      <c r="A4" s="3" t="s">
        <v>70</v>
      </c>
      <c r="B4" s="3" t="s">
        <v>247</v>
      </c>
      <c r="C4" s="3" t="s">
        <v>248</v>
      </c>
      <c r="D4" s="3" t="s">
        <v>249</v>
      </c>
      <c r="E4" s="3" t="s">
        <v>71</v>
      </c>
      <c r="F4" s="3" t="s">
        <v>250</v>
      </c>
    </row>
    <row r="5" spans="1:6" x14ac:dyDescent="0.2">
      <c r="A5">
        <v>2025</v>
      </c>
      <c r="B5">
        <v>60.62</v>
      </c>
      <c r="C5">
        <v>9.6999999999999993</v>
      </c>
      <c r="D5">
        <v>70.319999999999993</v>
      </c>
      <c r="E5">
        <v>0.436</v>
      </c>
      <c r="F5" t="s">
        <v>251</v>
      </c>
    </row>
    <row r="6" spans="1:6" x14ac:dyDescent="0.2">
      <c r="A6">
        <v>2026</v>
      </c>
      <c r="B6">
        <v>58.8</v>
      </c>
      <c r="C6">
        <v>9.0399999999999991</v>
      </c>
      <c r="D6">
        <v>67.84</v>
      </c>
      <c r="E6">
        <v>0.41899999999999998</v>
      </c>
      <c r="F6" t="s">
        <v>252</v>
      </c>
    </row>
    <row r="7" spans="1:6" x14ac:dyDescent="0.2">
      <c r="A7">
        <v>2027</v>
      </c>
      <c r="B7">
        <v>57.22</v>
      </c>
      <c r="C7">
        <v>8.43</v>
      </c>
      <c r="D7">
        <v>65.650000000000006</v>
      </c>
      <c r="E7">
        <v>0.40100000000000002</v>
      </c>
      <c r="F7" t="s">
        <v>253</v>
      </c>
    </row>
    <row r="8" spans="1:6" x14ac:dyDescent="0.2">
      <c r="A8">
        <v>2028</v>
      </c>
      <c r="B8">
        <v>55.59</v>
      </c>
      <c r="C8">
        <v>7.83</v>
      </c>
      <c r="D8">
        <v>63.42</v>
      </c>
      <c r="E8">
        <v>0.38400000000000001</v>
      </c>
      <c r="F8" t="s">
        <v>254</v>
      </c>
    </row>
    <row r="9" spans="1:6" x14ac:dyDescent="0.2">
      <c r="A9">
        <v>2029</v>
      </c>
      <c r="B9">
        <v>54.01</v>
      </c>
      <c r="C9">
        <v>7.27</v>
      </c>
      <c r="D9">
        <v>61.28</v>
      </c>
      <c r="E9">
        <v>0.36599999999999999</v>
      </c>
      <c r="F9" t="s">
        <v>255</v>
      </c>
    </row>
    <row r="10" spans="1:6" x14ac:dyDescent="0.2">
      <c r="A10">
        <v>2030</v>
      </c>
      <c r="B10">
        <v>53.04</v>
      </c>
      <c r="C10">
        <v>6.8</v>
      </c>
      <c r="D10">
        <v>59.84</v>
      </c>
      <c r="E10">
        <v>0.34899999999999998</v>
      </c>
      <c r="F10" t="s">
        <v>256</v>
      </c>
    </row>
    <row r="11" spans="1:6" x14ac:dyDescent="0.2">
      <c r="A11">
        <v>2031</v>
      </c>
      <c r="B11">
        <v>51.47</v>
      </c>
      <c r="C11">
        <v>6.33</v>
      </c>
      <c r="D11">
        <v>57.8</v>
      </c>
      <c r="E11">
        <v>0.33500000000000002</v>
      </c>
      <c r="F11" t="s">
        <v>257</v>
      </c>
    </row>
    <row r="12" spans="1:6" x14ac:dyDescent="0.2">
      <c r="A12">
        <v>2032</v>
      </c>
      <c r="B12">
        <v>49.89</v>
      </c>
      <c r="C12">
        <v>5.88</v>
      </c>
      <c r="D12">
        <v>55.77</v>
      </c>
      <c r="E12">
        <v>0.32100000000000001</v>
      </c>
      <c r="F12" t="s">
        <v>258</v>
      </c>
    </row>
    <row r="13" spans="1:6" x14ac:dyDescent="0.2">
      <c r="A13">
        <v>2033</v>
      </c>
      <c r="B13">
        <v>48.31</v>
      </c>
      <c r="C13">
        <v>5.45</v>
      </c>
      <c r="D13">
        <v>53.77</v>
      </c>
      <c r="E13">
        <v>0.307</v>
      </c>
      <c r="F13" t="s">
        <v>259</v>
      </c>
    </row>
    <row r="14" spans="1:6" x14ac:dyDescent="0.2">
      <c r="A14">
        <v>2034</v>
      </c>
      <c r="B14">
        <v>46.74</v>
      </c>
      <c r="C14">
        <v>5.04</v>
      </c>
      <c r="D14">
        <v>51.77</v>
      </c>
      <c r="E14">
        <v>0.29299999999999998</v>
      </c>
      <c r="F14" t="s">
        <v>260</v>
      </c>
    </row>
    <row r="15" spans="1:6" x14ac:dyDescent="0.2">
      <c r="A15">
        <v>2035</v>
      </c>
      <c r="B15">
        <v>45.83</v>
      </c>
      <c r="C15">
        <v>4.7</v>
      </c>
      <c r="D15">
        <v>50.53</v>
      </c>
      <c r="E15">
        <v>0.28000000000000003</v>
      </c>
      <c r="F15" t="s">
        <v>261</v>
      </c>
    </row>
    <row r="16" spans="1:6" x14ac:dyDescent="0.2">
      <c r="A16">
        <v>2036</v>
      </c>
      <c r="B16">
        <v>44.25</v>
      </c>
      <c r="C16">
        <v>4.09</v>
      </c>
      <c r="D16">
        <v>48.34</v>
      </c>
      <c r="E16">
        <v>0.252</v>
      </c>
      <c r="F16" t="s">
        <v>262</v>
      </c>
    </row>
    <row r="17" spans="1:6" x14ac:dyDescent="0.2">
      <c r="A17">
        <v>2037</v>
      </c>
      <c r="B17">
        <v>42.68</v>
      </c>
      <c r="C17">
        <v>3.5</v>
      </c>
      <c r="D17">
        <v>46.18</v>
      </c>
      <c r="E17">
        <v>0.224</v>
      </c>
      <c r="F17" t="s">
        <v>263</v>
      </c>
    </row>
    <row r="18" spans="1:6" x14ac:dyDescent="0.2">
      <c r="A18">
        <v>2038</v>
      </c>
      <c r="B18">
        <v>41.1</v>
      </c>
      <c r="C18">
        <v>2.95</v>
      </c>
      <c r="D18">
        <v>44.05</v>
      </c>
      <c r="E18">
        <v>0.19600000000000001</v>
      </c>
      <c r="F18" t="s">
        <v>264</v>
      </c>
    </row>
    <row r="19" spans="1:6" x14ac:dyDescent="0.2">
      <c r="A19">
        <v>2039</v>
      </c>
      <c r="B19">
        <v>39.520000000000003</v>
      </c>
      <c r="C19">
        <v>2.44</v>
      </c>
      <c r="D19">
        <v>41.96</v>
      </c>
      <c r="E19">
        <v>0.16800000000000001</v>
      </c>
      <c r="F19" t="s">
        <v>265</v>
      </c>
    </row>
    <row r="20" spans="1:6" x14ac:dyDescent="0.2">
      <c r="A20">
        <v>2040</v>
      </c>
      <c r="B20">
        <v>36.369999999999997</v>
      </c>
      <c r="C20">
        <v>1.87</v>
      </c>
      <c r="D20">
        <v>38.24</v>
      </c>
      <c r="E20">
        <v>0.14000000000000001</v>
      </c>
      <c r="F20" t="s">
        <v>266</v>
      </c>
    </row>
    <row r="21" spans="1:6" x14ac:dyDescent="0.2">
      <c r="A21">
        <v>2041</v>
      </c>
      <c r="B21">
        <v>36.369999999999997</v>
      </c>
      <c r="C21">
        <v>1.68</v>
      </c>
      <c r="D21">
        <v>38.049999999999997</v>
      </c>
      <c r="E21">
        <v>0.126</v>
      </c>
      <c r="F21" t="s">
        <v>266</v>
      </c>
    </row>
    <row r="22" spans="1:6" x14ac:dyDescent="0.2">
      <c r="A22">
        <v>2042</v>
      </c>
      <c r="B22">
        <v>36.369999999999997</v>
      </c>
      <c r="C22">
        <v>1.49</v>
      </c>
      <c r="D22">
        <v>37.869999999999997</v>
      </c>
      <c r="E22">
        <v>0.112</v>
      </c>
      <c r="F22" t="s">
        <v>266</v>
      </c>
    </row>
    <row r="23" spans="1:6" x14ac:dyDescent="0.2">
      <c r="A23">
        <v>2043</v>
      </c>
      <c r="B23">
        <v>36.369999999999997</v>
      </c>
      <c r="C23">
        <v>1.31</v>
      </c>
      <c r="D23">
        <v>37.68</v>
      </c>
      <c r="E23">
        <v>9.8000000000000004E-2</v>
      </c>
      <c r="F23" t="s">
        <v>266</v>
      </c>
    </row>
    <row r="24" spans="1:6" x14ac:dyDescent="0.2">
      <c r="A24">
        <v>2044</v>
      </c>
      <c r="B24">
        <v>36.369999999999997</v>
      </c>
      <c r="C24">
        <v>1.1200000000000001</v>
      </c>
      <c r="D24">
        <v>37.49</v>
      </c>
      <c r="E24">
        <v>8.4000000000000005E-2</v>
      </c>
      <c r="F24" t="s">
        <v>266</v>
      </c>
    </row>
    <row r="25" spans="1:6" x14ac:dyDescent="0.2">
      <c r="A25">
        <v>2045</v>
      </c>
      <c r="B25">
        <v>36.369999999999997</v>
      </c>
      <c r="C25">
        <v>0.93</v>
      </c>
      <c r="D25">
        <v>37.31</v>
      </c>
      <c r="E25">
        <v>7.0000000000000007E-2</v>
      </c>
      <c r="F25" t="s">
        <v>266</v>
      </c>
    </row>
    <row r="26" spans="1:6" x14ac:dyDescent="0.2">
      <c r="A26">
        <v>2046</v>
      </c>
      <c r="B26">
        <v>36.369999999999997</v>
      </c>
      <c r="C26">
        <v>0.75</v>
      </c>
      <c r="D26">
        <v>37.119999999999997</v>
      </c>
      <c r="E26">
        <v>5.6000000000000001E-2</v>
      </c>
      <c r="F26" t="s">
        <v>266</v>
      </c>
    </row>
    <row r="27" spans="1:6" x14ac:dyDescent="0.2">
      <c r="A27">
        <v>2047</v>
      </c>
      <c r="B27">
        <v>36.369999999999997</v>
      </c>
      <c r="C27">
        <v>0.56000000000000005</v>
      </c>
      <c r="D27">
        <v>36.93</v>
      </c>
      <c r="E27">
        <v>4.2000000000000003E-2</v>
      </c>
      <c r="F27" t="s">
        <v>266</v>
      </c>
    </row>
    <row r="28" spans="1:6" x14ac:dyDescent="0.2">
      <c r="A28">
        <v>2048</v>
      </c>
      <c r="B28">
        <v>36.369999999999997</v>
      </c>
      <c r="C28">
        <v>0.37</v>
      </c>
      <c r="D28">
        <v>36.75</v>
      </c>
      <c r="E28">
        <v>2.8000000000000001E-2</v>
      </c>
      <c r="F28" t="s">
        <v>266</v>
      </c>
    </row>
    <row r="29" spans="1:6" x14ac:dyDescent="0.2">
      <c r="A29">
        <v>2049</v>
      </c>
      <c r="B29">
        <v>36.369999999999997</v>
      </c>
      <c r="C29">
        <v>0.19</v>
      </c>
      <c r="D29">
        <v>36.56</v>
      </c>
      <c r="E29">
        <v>1.4E-2</v>
      </c>
      <c r="F29" t="s">
        <v>266</v>
      </c>
    </row>
    <row r="30" spans="1:6" x14ac:dyDescent="0.2">
      <c r="A30">
        <v>2050</v>
      </c>
      <c r="B30">
        <v>36.369999999999997</v>
      </c>
      <c r="C30">
        <v>0</v>
      </c>
      <c r="D30">
        <v>36.369999999999997</v>
      </c>
      <c r="E30">
        <v>0</v>
      </c>
      <c r="F30" t="s">
        <v>266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23"/>
  <sheetViews>
    <sheetView workbookViewId="0"/>
  </sheetViews>
  <sheetFormatPr baseColWidth="10" defaultColWidth="8.83203125" defaultRowHeight="15" x14ac:dyDescent="0.2"/>
  <cols>
    <col min="1" max="6" width="18" customWidth="1"/>
  </cols>
  <sheetData>
    <row r="1" spans="1:6" ht="19" x14ac:dyDescent="0.25">
      <c r="A1" s="4" t="s">
        <v>267</v>
      </c>
    </row>
    <row r="3" spans="1:6" ht="16" x14ac:dyDescent="0.2">
      <c r="A3" s="6" t="s">
        <v>268</v>
      </c>
    </row>
    <row r="4" spans="1:6" x14ac:dyDescent="0.2">
      <c r="A4" s="7" t="s">
        <v>269</v>
      </c>
    </row>
    <row r="6" spans="1:6" ht="16" x14ac:dyDescent="0.2">
      <c r="A6" s="1" t="s">
        <v>270</v>
      </c>
    </row>
    <row r="8" spans="1:6" ht="16" x14ac:dyDescent="0.2">
      <c r="A8" s="3" t="s">
        <v>28</v>
      </c>
      <c r="B8" s="3" t="s">
        <v>271</v>
      </c>
      <c r="C8" s="3" t="s">
        <v>272</v>
      </c>
      <c r="D8" s="3" t="s">
        <v>273</v>
      </c>
      <c r="E8" s="3" t="s">
        <v>274</v>
      </c>
      <c r="F8" s="3" t="s">
        <v>275</v>
      </c>
    </row>
    <row r="9" spans="1:6" x14ac:dyDescent="0.2">
      <c r="A9" t="s">
        <v>276</v>
      </c>
      <c r="B9">
        <v>1.55</v>
      </c>
      <c r="C9">
        <v>34</v>
      </c>
      <c r="D9">
        <v>20</v>
      </c>
      <c r="E9">
        <v>274</v>
      </c>
      <c r="F9">
        <v>329</v>
      </c>
    </row>
    <row r="10" spans="1:6" x14ac:dyDescent="0.2">
      <c r="A10" t="s">
        <v>103</v>
      </c>
      <c r="B10">
        <v>47.89</v>
      </c>
      <c r="C10">
        <v>58</v>
      </c>
      <c r="D10">
        <v>58</v>
      </c>
      <c r="E10">
        <v>383</v>
      </c>
      <c r="F10">
        <v>499</v>
      </c>
    </row>
    <row r="11" spans="1:6" x14ac:dyDescent="0.2">
      <c r="A11" t="s">
        <v>31</v>
      </c>
      <c r="B11">
        <v>47.89</v>
      </c>
      <c r="C11">
        <v>51</v>
      </c>
      <c r="D11">
        <v>51</v>
      </c>
      <c r="E11">
        <v>136</v>
      </c>
      <c r="F11">
        <v>238</v>
      </c>
    </row>
    <row r="12" spans="1:6" x14ac:dyDescent="0.2">
      <c r="A12" t="s">
        <v>277</v>
      </c>
      <c r="B12">
        <v>8.35</v>
      </c>
      <c r="C12">
        <v>0</v>
      </c>
      <c r="D12">
        <v>0</v>
      </c>
      <c r="E12">
        <v>-209</v>
      </c>
      <c r="F12">
        <v>-209</v>
      </c>
    </row>
    <row r="13" spans="1:6" x14ac:dyDescent="0.2">
      <c r="A13" t="s">
        <v>112</v>
      </c>
      <c r="B13">
        <v>1.87</v>
      </c>
      <c r="C13">
        <v>31</v>
      </c>
      <c r="D13">
        <v>23</v>
      </c>
      <c r="E13">
        <v>307</v>
      </c>
      <c r="F13">
        <v>360</v>
      </c>
    </row>
    <row r="16" spans="1:6" ht="16" x14ac:dyDescent="0.2">
      <c r="A16" s="1" t="s">
        <v>278</v>
      </c>
    </row>
    <row r="18" spans="1:6" ht="16" x14ac:dyDescent="0.2">
      <c r="A18" s="3" t="s">
        <v>28</v>
      </c>
      <c r="B18" s="3" t="s">
        <v>271</v>
      </c>
      <c r="C18" s="3" t="s">
        <v>272</v>
      </c>
      <c r="D18" s="3" t="s">
        <v>273</v>
      </c>
      <c r="E18" s="3" t="s">
        <v>274</v>
      </c>
      <c r="F18" s="3" t="s">
        <v>275</v>
      </c>
    </row>
    <row r="19" spans="1:6" x14ac:dyDescent="0.2">
      <c r="A19" t="s">
        <v>276</v>
      </c>
      <c r="B19">
        <v>1.93</v>
      </c>
      <c r="C19">
        <v>20</v>
      </c>
      <c r="D19">
        <v>12</v>
      </c>
      <c r="E19">
        <v>245</v>
      </c>
      <c r="F19">
        <v>277</v>
      </c>
    </row>
    <row r="20" spans="1:6" x14ac:dyDescent="0.2">
      <c r="A20" t="s">
        <v>103</v>
      </c>
      <c r="B20">
        <v>32.840000000000003</v>
      </c>
      <c r="C20">
        <v>34</v>
      </c>
      <c r="D20">
        <v>34</v>
      </c>
      <c r="E20">
        <v>197</v>
      </c>
      <c r="F20">
        <v>265</v>
      </c>
    </row>
    <row r="21" spans="1:6" x14ac:dyDescent="0.2">
      <c r="A21" t="s">
        <v>31</v>
      </c>
      <c r="B21">
        <v>32.840000000000003</v>
      </c>
      <c r="C21">
        <v>30</v>
      </c>
      <c r="D21">
        <v>30</v>
      </c>
      <c r="E21">
        <v>74</v>
      </c>
      <c r="F21">
        <v>134</v>
      </c>
    </row>
    <row r="22" spans="1:6" x14ac:dyDescent="0.2">
      <c r="A22" t="s">
        <v>277</v>
      </c>
      <c r="B22">
        <v>0</v>
      </c>
      <c r="C22">
        <v>0</v>
      </c>
      <c r="D22">
        <v>0</v>
      </c>
      <c r="E22">
        <v>1000000000</v>
      </c>
      <c r="F22">
        <v>1000000000</v>
      </c>
    </row>
    <row r="23" spans="1:6" x14ac:dyDescent="0.2">
      <c r="A23" t="s">
        <v>112</v>
      </c>
      <c r="B23">
        <v>1.28</v>
      </c>
      <c r="C23">
        <v>18</v>
      </c>
      <c r="D23">
        <v>14</v>
      </c>
      <c r="E23">
        <v>165</v>
      </c>
      <c r="F23">
        <v>197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12"/>
  <sheetViews>
    <sheetView workbookViewId="0"/>
  </sheetViews>
  <sheetFormatPr baseColWidth="10" defaultColWidth="8.83203125" defaultRowHeight="15" x14ac:dyDescent="0.2"/>
  <cols>
    <col min="1" max="8" width="18" customWidth="1"/>
  </cols>
  <sheetData>
    <row r="1" spans="1:8" ht="19" x14ac:dyDescent="0.25">
      <c r="A1" s="4" t="s">
        <v>279</v>
      </c>
    </row>
    <row r="2" spans="1:8" x14ac:dyDescent="0.2">
      <c r="A2" s="5" t="s">
        <v>280</v>
      </c>
    </row>
    <row r="4" spans="1:8" ht="16" x14ac:dyDescent="0.2">
      <c r="A4" s="1" t="s">
        <v>281</v>
      </c>
    </row>
    <row r="6" spans="1:8" ht="32" x14ac:dyDescent="0.2">
      <c r="A6" s="3" t="s">
        <v>70</v>
      </c>
      <c r="B6" s="3" t="s">
        <v>282</v>
      </c>
      <c r="C6" s="3" t="s">
        <v>283</v>
      </c>
      <c r="D6" s="3" t="s">
        <v>284</v>
      </c>
      <c r="E6" s="3" t="s">
        <v>285</v>
      </c>
      <c r="F6" s="3" t="s">
        <v>286</v>
      </c>
      <c r="G6" s="3" t="s">
        <v>287</v>
      </c>
      <c r="H6" s="3" t="s">
        <v>288</v>
      </c>
    </row>
    <row r="7" spans="1:8" x14ac:dyDescent="0.2">
      <c r="A7">
        <v>2025</v>
      </c>
      <c r="B7">
        <v>70.319999999999993</v>
      </c>
      <c r="C7">
        <v>0</v>
      </c>
      <c r="D7">
        <v>0</v>
      </c>
      <c r="E7">
        <v>4.12</v>
      </c>
      <c r="F7">
        <v>4.12</v>
      </c>
      <c r="G7">
        <v>66.2</v>
      </c>
      <c r="H7" t="s">
        <v>289</v>
      </c>
    </row>
    <row r="8" spans="1:8" x14ac:dyDescent="0.2">
      <c r="A8">
        <v>2030</v>
      </c>
      <c r="B8">
        <v>59.84</v>
      </c>
      <c r="C8">
        <v>0</v>
      </c>
      <c r="D8">
        <v>0</v>
      </c>
      <c r="E8">
        <v>6.54</v>
      </c>
      <c r="F8">
        <v>6.54</v>
      </c>
      <c r="G8">
        <v>53.3</v>
      </c>
      <c r="H8" t="s">
        <v>289</v>
      </c>
    </row>
    <row r="9" spans="1:8" x14ac:dyDescent="0.2">
      <c r="A9">
        <v>2035</v>
      </c>
      <c r="B9">
        <v>50.53</v>
      </c>
      <c r="C9">
        <v>0</v>
      </c>
      <c r="D9">
        <v>0.28999999999999998</v>
      </c>
      <c r="E9">
        <v>6.74</v>
      </c>
      <c r="F9">
        <v>7.03</v>
      </c>
      <c r="G9">
        <v>43.5</v>
      </c>
      <c r="H9" t="s">
        <v>290</v>
      </c>
    </row>
    <row r="10" spans="1:8" x14ac:dyDescent="0.2">
      <c r="A10">
        <v>2040</v>
      </c>
      <c r="B10">
        <v>38.24</v>
      </c>
      <c r="C10">
        <v>0</v>
      </c>
      <c r="D10">
        <v>5</v>
      </c>
      <c r="E10">
        <v>6.74</v>
      </c>
      <c r="F10">
        <v>11.74</v>
      </c>
      <c r="G10">
        <v>26.499600000000001</v>
      </c>
      <c r="H10" t="s">
        <v>291</v>
      </c>
    </row>
    <row r="11" spans="1:8" x14ac:dyDescent="0.2">
      <c r="A11">
        <v>2045</v>
      </c>
      <c r="B11">
        <v>37.31</v>
      </c>
      <c r="C11">
        <v>0</v>
      </c>
      <c r="D11">
        <v>17.170000000000002</v>
      </c>
      <c r="E11">
        <v>6.74</v>
      </c>
      <c r="F11">
        <v>23.91</v>
      </c>
      <c r="G11">
        <v>13.4</v>
      </c>
      <c r="H11" t="s">
        <v>292</v>
      </c>
    </row>
    <row r="12" spans="1:8" x14ac:dyDescent="0.2">
      <c r="A12">
        <v>2050</v>
      </c>
      <c r="B12">
        <v>36.369999999999997</v>
      </c>
      <c r="C12">
        <v>0</v>
      </c>
      <c r="D12">
        <v>29.63</v>
      </c>
      <c r="E12">
        <v>6.74</v>
      </c>
      <c r="F12">
        <v>36.369999999999997</v>
      </c>
      <c r="G12">
        <v>0</v>
      </c>
      <c r="H12" t="s">
        <v>293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18"/>
  <sheetViews>
    <sheetView workbookViewId="0"/>
  </sheetViews>
  <sheetFormatPr baseColWidth="10" defaultColWidth="8.83203125" defaultRowHeight="15" x14ac:dyDescent="0.2"/>
  <cols>
    <col min="1" max="1" width="35" customWidth="1"/>
    <col min="2" max="2" width="25" customWidth="1"/>
    <col min="3" max="3" width="35" customWidth="1"/>
    <col min="4" max="4" width="20" customWidth="1"/>
  </cols>
  <sheetData>
    <row r="1" spans="1:4" ht="19" x14ac:dyDescent="0.25">
      <c r="A1" s="4" t="s">
        <v>294</v>
      </c>
    </row>
    <row r="3" spans="1:4" ht="16" x14ac:dyDescent="0.2">
      <c r="A3" s="1" t="s">
        <v>295</v>
      </c>
    </row>
    <row r="5" spans="1:4" ht="16" x14ac:dyDescent="0.2">
      <c r="A5" s="3" t="s">
        <v>70</v>
      </c>
      <c r="B5" s="3" t="s">
        <v>296</v>
      </c>
      <c r="C5" s="3" t="s">
        <v>297</v>
      </c>
      <c r="D5" s="3" t="s">
        <v>298</v>
      </c>
    </row>
    <row r="6" spans="1:4" x14ac:dyDescent="0.2">
      <c r="A6">
        <v>2025</v>
      </c>
      <c r="B6">
        <v>7.2</v>
      </c>
      <c r="C6">
        <v>0</v>
      </c>
      <c r="D6">
        <v>7.2</v>
      </c>
    </row>
    <row r="7" spans="1:4" x14ac:dyDescent="0.2">
      <c r="A7">
        <v>2030</v>
      </c>
      <c r="B7">
        <v>7.6</v>
      </c>
      <c r="C7">
        <v>0</v>
      </c>
      <c r="D7">
        <v>7.6</v>
      </c>
    </row>
    <row r="8" spans="1:4" x14ac:dyDescent="0.2">
      <c r="A8">
        <v>2035</v>
      </c>
      <c r="B8">
        <v>7.9</v>
      </c>
      <c r="C8">
        <v>1.6</v>
      </c>
      <c r="D8">
        <v>9.5</v>
      </c>
    </row>
    <row r="9" spans="1:4" x14ac:dyDescent="0.2">
      <c r="A9">
        <v>2040</v>
      </c>
      <c r="B9">
        <v>8.3000000000000007</v>
      </c>
      <c r="C9">
        <v>26.5</v>
      </c>
      <c r="D9">
        <v>34.799999999999997</v>
      </c>
    </row>
    <row r="10" spans="1:4" x14ac:dyDescent="0.2">
      <c r="A10">
        <v>2045</v>
      </c>
      <c r="B10">
        <v>8.6</v>
      </c>
      <c r="C10">
        <v>91</v>
      </c>
      <c r="D10">
        <v>99.6</v>
      </c>
    </row>
    <row r="11" spans="1:4" x14ac:dyDescent="0.2">
      <c r="A11">
        <v>2050</v>
      </c>
      <c r="B11">
        <v>9</v>
      </c>
      <c r="C11">
        <v>157.1</v>
      </c>
      <c r="D11">
        <v>166.1</v>
      </c>
    </row>
    <row r="14" spans="1:4" ht="16" x14ac:dyDescent="0.2">
      <c r="A14" s="1" t="s">
        <v>299</v>
      </c>
    </row>
    <row r="16" spans="1:4" x14ac:dyDescent="0.2">
      <c r="A16" s="2" t="s">
        <v>300</v>
      </c>
      <c r="B16" t="s">
        <v>301</v>
      </c>
      <c r="C16" s="5" t="s">
        <v>302</v>
      </c>
    </row>
    <row r="17" spans="1:3" x14ac:dyDescent="0.2">
      <c r="A17" s="2" t="s">
        <v>303</v>
      </c>
      <c r="B17" t="s">
        <v>304</v>
      </c>
      <c r="C17" s="5" t="s">
        <v>305</v>
      </c>
    </row>
    <row r="18" spans="1:3" x14ac:dyDescent="0.2">
      <c r="A18" s="2" t="s">
        <v>306</v>
      </c>
      <c r="B18" t="s">
        <v>307</v>
      </c>
      <c r="C18" s="5" t="s">
        <v>308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C38"/>
  <sheetViews>
    <sheetView workbookViewId="0"/>
  </sheetViews>
  <sheetFormatPr baseColWidth="10" defaultColWidth="8.83203125" defaultRowHeight="15" x14ac:dyDescent="0.2"/>
  <cols>
    <col min="1" max="1" width="30" customWidth="1"/>
    <col min="2" max="3" width="25" customWidth="1"/>
  </cols>
  <sheetData>
    <row r="1" spans="1:3" ht="19" x14ac:dyDescent="0.25">
      <c r="A1" s="4" t="s">
        <v>309</v>
      </c>
    </row>
    <row r="3" spans="1:3" ht="16" x14ac:dyDescent="0.2">
      <c r="A3" s="1" t="s">
        <v>310</v>
      </c>
    </row>
    <row r="5" spans="1:3" x14ac:dyDescent="0.2">
      <c r="A5" s="2" t="s">
        <v>311</v>
      </c>
      <c r="B5" t="s">
        <v>22</v>
      </c>
    </row>
    <row r="6" spans="1:3" x14ac:dyDescent="0.2">
      <c r="A6" s="2" t="s">
        <v>312</v>
      </c>
      <c r="B6" t="s">
        <v>313</v>
      </c>
    </row>
    <row r="7" spans="1:3" x14ac:dyDescent="0.2">
      <c r="A7" s="2" t="s">
        <v>314</v>
      </c>
      <c r="B7" t="s">
        <v>315</v>
      </c>
    </row>
    <row r="10" spans="1:3" ht="16" x14ac:dyDescent="0.2">
      <c r="A10" s="1" t="s">
        <v>316</v>
      </c>
    </row>
    <row r="12" spans="1:3" ht="16" x14ac:dyDescent="0.2">
      <c r="A12" s="3" t="s">
        <v>70</v>
      </c>
      <c r="B12" s="3" t="s">
        <v>317</v>
      </c>
      <c r="C12" s="3" t="s">
        <v>288</v>
      </c>
    </row>
    <row r="13" spans="1:3" x14ac:dyDescent="0.2">
      <c r="A13">
        <v>2025</v>
      </c>
      <c r="B13" t="s">
        <v>289</v>
      </c>
      <c r="C13" t="s">
        <v>289</v>
      </c>
    </row>
    <row r="14" spans="1:3" x14ac:dyDescent="0.2">
      <c r="A14">
        <v>2026</v>
      </c>
      <c r="B14" t="s">
        <v>289</v>
      </c>
      <c r="C14" t="s">
        <v>289</v>
      </c>
    </row>
    <row r="15" spans="1:3" x14ac:dyDescent="0.2">
      <c r="A15">
        <v>2027</v>
      </c>
      <c r="B15" t="s">
        <v>289</v>
      </c>
      <c r="C15" t="s">
        <v>289</v>
      </c>
    </row>
    <row r="16" spans="1:3" x14ac:dyDescent="0.2">
      <c r="A16">
        <v>2028</v>
      </c>
      <c r="B16" t="s">
        <v>289</v>
      </c>
      <c r="C16" t="s">
        <v>289</v>
      </c>
    </row>
    <row r="17" spans="1:3" x14ac:dyDescent="0.2">
      <c r="A17">
        <v>2029</v>
      </c>
      <c r="B17" t="s">
        <v>289</v>
      </c>
      <c r="C17" t="s">
        <v>289</v>
      </c>
    </row>
    <row r="18" spans="1:3" x14ac:dyDescent="0.2">
      <c r="A18">
        <v>2030</v>
      </c>
      <c r="B18" t="s">
        <v>289</v>
      </c>
      <c r="C18" t="s">
        <v>289</v>
      </c>
    </row>
    <row r="19" spans="1:3" x14ac:dyDescent="0.2">
      <c r="A19">
        <v>2031</v>
      </c>
      <c r="B19" t="s">
        <v>289</v>
      </c>
      <c r="C19" t="s">
        <v>289</v>
      </c>
    </row>
    <row r="20" spans="1:3" x14ac:dyDescent="0.2">
      <c r="A20">
        <v>2032</v>
      </c>
      <c r="B20" t="s">
        <v>289</v>
      </c>
      <c r="C20" t="s">
        <v>289</v>
      </c>
    </row>
    <row r="21" spans="1:3" x14ac:dyDescent="0.2">
      <c r="A21">
        <v>2033</v>
      </c>
      <c r="B21" t="s">
        <v>289</v>
      </c>
      <c r="C21" t="s">
        <v>289</v>
      </c>
    </row>
    <row r="22" spans="1:3" x14ac:dyDescent="0.2">
      <c r="A22">
        <v>2034</v>
      </c>
      <c r="B22" t="s">
        <v>289</v>
      </c>
      <c r="C22" t="s">
        <v>289</v>
      </c>
    </row>
    <row r="23" spans="1:3" x14ac:dyDescent="0.2">
      <c r="A23">
        <v>2035</v>
      </c>
      <c r="B23" t="s">
        <v>290</v>
      </c>
      <c r="C23" t="s">
        <v>290</v>
      </c>
    </row>
    <row r="24" spans="1:3" x14ac:dyDescent="0.2">
      <c r="A24">
        <v>2036</v>
      </c>
      <c r="B24" t="s">
        <v>318</v>
      </c>
      <c r="C24" t="s">
        <v>319</v>
      </c>
    </row>
    <row r="25" spans="1:3" x14ac:dyDescent="0.2">
      <c r="A25">
        <v>2037</v>
      </c>
      <c r="B25" t="s">
        <v>320</v>
      </c>
      <c r="C25" t="s">
        <v>321</v>
      </c>
    </row>
    <row r="26" spans="1:3" x14ac:dyDescent="0.2">
      <c r="A26">
        <v>2038</v>
      </c>
      <c r="B26" t="s">
        <v>320</v>
      </c>
      <c r="C26" t="s">
        <v>322</v>
      </c>
    </row>
    <row r="27" spans="1:3" x14ac:dyDescent="0.2">
      <c r="A27">
        <v>2039</v>
      </c>
      <c r="B27" t="s">
        <v>323</v>
      </c>
      <c r="C27" t="s">
        <v>291</v>
      </c>
    </row>
    <row r="28" spans="1:3" x14ac:dyDescent="0.2">
      <c r="A28">
        <v>2040</v>
      </c>
      <c r="B28" t="s">
        <v>289</v>
      </c>
      <c r="C28" t="s">
        <v>291</v>
      </c>
    </row>
    <row r="29" spans="1:3" x14ac:dyDescent="0.2">
      <c r="A29">
        <v>2041</v>
      </c>
      <c r="B29" t="s">
        <v>324</v>
      </c>
      <c r="C29" t="s">
        <v>325</v>
      </c>
    </row>
    <row r="30" spans="1:3" x14ac:dyDescent="0.2">
      <c r="A30">
        <v>2042</v>
      </c>
      <c r="B30" t="s">
        <v>326</v>
      </c>
      <c r="C30" t="s">
        <v>327</v>
      </c>
    </row>
    <row r="31" spans="1:3" x14ac:dyDescent="0.2">
      <c r="A31">
        <v>2043</v>
      </c>
      <c r="B31" t="s">
        <v>328</v>
      </c>
      <c r="C31" t="s">
        <v>329</v>
      </c>
    </row>
    <row r="32" spans="1:3" x14ac:dyDescent="0.2">
      <c r="A32">
        <v>2044</v>
      </c>
      <c r="B32" t="s">
        <v>330</v>
      </c>
      <c r="C32" t="s">
        <v>331</v>
      </c>
    </row>
    <row r="33" spans="1:3" x14ac:dyDescent="0.2">
      <c r="A33">
        <v>2045</v>
      </c>
      <c r="B33" t="s">
        <v>332</v>
      </c>
      <c r="C33" t="s">
        <v>292</v>
      </c>
    </row>
    <row r="34" spans="1:3" x14ac:dyDescent="0.2">
      <c r="A34">
        <v>2046</v>
      </c>
      <c r="B34" t="s">
        <v>333</v>
      </c>
      <c r="C34" t="s">
        <v>334</v>
      </c>
    </row>
    <row r="35" spans="1:3" x14ac:dyDescent="0.2">
      <c r="A35">
        <v>2047</v>
      </c>
      <c r="B35" t="s">
        <v>335</v>
      </c>
      <c r="C35" t="s">
        <v>336</v>
      </c>
    </row>
    <row r="36" spans="1:3" x14ac:dyDescent="0.2">
      <c r="A36">
        <v>2048</v>
      </c>
      <c r="B36" t="s">
        <v>337</v>
      </c>
      <c r="C36" t="s">
        <v>338</v>
      </c>
    </row>
    <row r="37" spans="1:3" x14ac:dyDescent="0.2">
      <c r="A37">
        <v>2049</v>
      </c>
      <c r="B37" t="s">
        <v>339</v>
      </c>
      <c r="C37" t="s">
        <v>340</v>
      </c>
    </row>
    <row r="38" spans="1:3" x14ac:dyDescent="0.2">
      <c r="A38">
        <v>2050</v>
      </c>
      <c r="B38" t="s">
        <v>341</v>
      </c>
      <c r="C38" t="s">
        <v>293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24"/>
  <sheetViews>
    <sheetView workbookViewId="0"/>
  </sheetViews>
  <sheetFormatPr baseColWidth="10" defaultColWidth="8.83203125" defaultRowHeight="15" x14ac:dyDescent="0.2"/>
  <cols>
    <col min="1" max="1" width="25" customWidth="1"/>
    <col min="2" max="2" width="30" customWidth="1"/>
    <col min="3" max="3" width="50" customWidth="1"/>
  </cols>
  <sheetData>
    <row r="1" spans="1:3" ht="19" x14ac:dyDescent="0.25">
      <c r="A1" s="4" t="s">
        <v>342</v>
      </c>
    </row>
    <row r="3" spans="1:3" ht="16" x14ac:dyDescent="0.2">
      <c r="A3" s="1" t="s">
        <v>343</v>
      </c>
    </row>
    <row r="5" spans="1:3" x14ac:dyDescent="0.2">
      <c r="A5" s="2" t="s">
        <v>344</v>
      </c>
    </row>
    <row r="6" spans="1:3" x14ac:dyDescent="0.2">
      <c r="B6" s="7" t="s">
        <v>345</v>
      </c>
      <c r="C6" t="s">
        <v>346</v>
      </c>
    </row>
    <row r="7" spans="1:3" x14ac:dyDescent="0.2">
      <c r="B7" s="7" t="s">
        <v>347</v>
      </c>
      <c r="C7" t="s">
        <v>348</v>
      </c>
    </row>
    <row r="9" spans="1:3" x14ac:dyDescent="0.2">
      <c r="A9" s="2" t="s">
        <v>349</v>
      </c>
    </row>
    <row r="10" spans="1:3" x14ac:dyDescent="0.2">
      <c r="B10" s="7" t="s">
        <v>350</v>
      </c>
      <c r="C10" t="s">
        <v>351</v>
      </c>
    </row>
    <row r="11" spans="1:3" x14ac:dyDescent="0.2">
      <c r="B11" s="7" t="s">
        <v>352</v>
      </c>
      <c r="C11" t="s">
        <v>353</v>
      </c>
    </row>
    <row r="13" spans="1:3" x14ac:dyDescent="0.2">
      <c r="A13" s="2" t="s">
        <v>354</v>
      </c>
    </row>
    <row r="14" spans="1:3" x14ac:dyDescent="0.2">
      <c r="B14" s="7" t="s">
        <v>355</v>
      </c>
      <c r="C14" t="s">
        <v>356</v>
      </c>
    </row>
    <row r="15" spans="1:3" x14ac:dyDescent="0.2">
      <c r="B15" s="7" t="s">
        <v>357</v>
      </c>
      <c r="C15" t="s">
        <v>358</v>
      </c>
    </row>
    <row r="17" spans="1:3" x14ac:dyDescent="0.2">
      <c r="A17" s="2" t="s">
        <v>359</v>
      </c>
    </row>
    <row r="18" spans="1:3" x14ac:dyDescent="0.2">
      <c r="B18" s="7" t="s">
        <v>360</v>
      </c>
      <c r="C18" t="s">
        <v>361</v>
      </c>
    </row>
    <row r="19" spans="1:3" x14ac:dyDescent="0.2">
      <c r="B19" s="7" t="s">
        <v>362</v>
      </c>
      <c r="C19" t="s">
        <v>363</v>
      </c>
    </row>
    <row r="21" spans="1:3" x14ac:dyDescent="0.2">
      <c r="A21" s="2" t="s">
        <v>364</v>
      </c>
    </row>
    <row r="22" spans="1:3" x14ac:dyDescent="0.2">
      <c r="B22" s="7" t="s">
        <v>365</v>
      </c>
      <c r="C22" t="s">
        <v>366</v>
      </c>
    </row>
    <row r="23" spans="1:3" x14ac:dyDescent="0.2">
      <c r="B23" s="7" t="s">
        <v>367</v>
      </c>
      <c r="C23" t="s">
        <v>368</v>
      </c>
    </row>
    <row r="24" spans="1:3" x14ac:dyDescent="0.2">
      <c r="B24" s="7" t="s">
        <v>369</v>
      </c>
      <c r="C24" t="s">
        <v>370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G93"/>
  <sheetViews>
    <sheetView topLeftCell="A59" workbookViewId="0"/>
  </sheetViews>
  <sheetFormatPr baseColWidth="10" defaultColWidth="8.83203125" defaultRowHeight="15" x14ac:dyDescent="0.2"/>
  <cols>
    <col min="1" max="2" width="18" customWidth="1"/>
    <col min="3" max="5" width="16" customWidth="1"/>
    <col min="6" max="6" width="18" customWidth="1"/>
    <col min="7" max="7" width="15" customWidth="1"/>
  </cols>
  <sheetData>
    <row r="1" spans="1:6" ht="19" x14ac:dyDescent="0.25">
      <c r="A1" s="4" t="s">
        <v>371</v>
      </c>
    </row>
    <row r="2" spans="1:6" x14ac:dyDescent="0.2">
      <c r="A2" s="5" t="s">
        <v>372</v>
      </c>
    </row>
    <row r="4" spans="1:6" ht="16" x14ac:dyDescent="0.2">
      <c r="A4" s="1" t="s">
        <v>373</v>
      </c>
    </row>
    <row r="6" spans="1:6" ht="16" x14ac:dyDescent="0.2">
      <c r="A6" s="3" t="s">
        <v>374</v>
      </c>
      <c r="B6" s="3" t="s">
        <v>375</v>
      </c>
      <c r="C6" s="3" t="s">
        <v>159</v>
      </c>
      <c r="D6" s="3" t="s">
        <v>376</v>
      </c>
      <c r="E6" s="3" t="s">
        <v>160</v>
      </c>
      <c r="F6" s="3" t="s">
        <v>377</v>
      </c>
    </row>
    <row r="7" spans="1:6" x14ac:dyDescent="0.2">
      <c r="A7" t="s">
        <v>170</v>
      </c>
      <c r="B7">
        <v>67</v>
      </c>
      <c r="C7" t="s">
        <v>378</v>
      </c>
      <c r="D7">
        <v>56.02</v>
      </c>
      <c r="E7" t="s">
        <v>379</v>
      </c>
      <c r="F7" t="s">
        <v>380</v>
      </c>
    </row>
    <row r="8" spans="1:6" x14ac:dyDescent="0.2">
      <c r="A8" t="s">
        <v>161</v>
      </c>
      <c r="B8">
        <v>85</v>
      </c>
      <c r="C8" t="s">
        <v>162</v>
      </c>
      <c r="D8">
        <v>15.9</v>
      </c>
      <c r="E8" t="s">
        <v>381</v>
      </c>
      <c r="F8" t="s">
        <v>382</v>
      </c>
    </row>
    <row r="9" spans="1:6" x14ac:dyDescent="0.2">
      <c r="A9" t="s">
        <v>164</v>
      </c>
      <c r="B9">
        <v>56</v>
      </c>
      <c r="C9" t="s">
        <v>165</v>
      </c>
      <c r="D9">
        <v>16.82</v>
      </c>
      <c r="E9" t="s">
        <v>383</v>
      </c>
      <c r="F9" t="s">
        <v>384</v>
      </c>
    </row>
    <row r="10" spans="1:6" x14ac:dyDescent="0.2">
      <c r="A10" t="s">
        <v>167</v>
      </c>
      <c r="B10">
        <v>65</v>
      </c>
      <c r="C10" t="s">
        <v>168</v>
      </c>
      <c r="D10">
        <v>4.8499999999999996</v>
      </c>
      <c r="E10" t="s">
        <v>385</v>
      </c>
      <c r="F10" t="s">
        <v>386</v>
      </c>
    </row>
    <row r="11" spans="1:6" x14ac:dyDescent="0.2">
      <c r="A11" t="s">
        <v>173</v>
      </c>
      <c r="B11">
        <v>2</v>
      </c>
      <c r="C11" t="s">
        <v>174</v>
      </c>
      <c r="D11">
        <v>0.18</v>
      </c>
      <c r="E11" t="s">
        <v>387</v>
      </c>
      <c r="F11" t="s">
        <v>388</v>
      </c>
    </row>
    <row r="12" spans="1:6" x14ac:dyDescent="0.2">
      <c r="A12" t="s">
        <v>176</v>
      </c>
      <c r="B12">
        <v>1</v>
      </c>
      <c r="C12" t="s">
        <v>177</v>
      </c>
      <c r="D12">
        <v>0</v>
      </c>
      <c r="E12" t="s">
        <v>181</v>
      </c>
      <c r="F12" t="s">
        <v>389</v>
      </c>
    </row>
    <row r="13" spans="1:6" x14ac:dyDescent="0.2">
      <c r="A13" t="s">
        <v>179</v>
      </c>
      <c r="B13">
        <v>3</v>
      </c>
      <c r="C13" t="s">
        <v>180</v>
      </c>
      <c r="D13">
        <v>0.08</v>
      </c>
      <c r="E13" t="s">
        <v>184</v>
      </c>
      <c r="F13" t="s">
        <v>390</v>
      </c>
    </row>
    <row r="14" spans="1:6" x14ac:dyDescent="0.2">
      <c r="A14" t="s">
        <v>182</v>
      </c>
      <c r="B14">
        <v>3</v>
      </c>
      <c r="C14" t="s">
        <v>183</v>
      </c>
      <c r="D14">
        <v>0</v>
      </c>
      <c r="E14" t="s">
        <v>184</v>
      </c>
      <c r="F14" t="s">
        <v>389</v>
      </c>
    </row>
    <row r="15" spans="1:6" x14ac:dyDescent="0.2">
      <c r="A15" t="s">
        <v>185</v>
      </c>
      <c r="B15">
        <v>3</v>
      </c>
      <c r="C15" t="s">
        <v>186</v>
      </c>
      <c r="D15">
        <v>0</v>
      </c>
      <c r="E15" t="s">
        <v>187</v>
      </c>
      <c r="F15" t="s">
        <v>389</v>
      </c>
    </row>
    <row r="16" spans="1:6" x14ac:dyDescent="0.2">
      <c r="A16" t="s">
        <v>188</v>
      </c>
      <c r="B16">
        <v>2</v>
      </c>
      <c r="C16" t="s">
        <v>189</v>
      </c>
      <c r="D16">
        <v>0</v>
      </c>
      <c r="E16" t="s">
        <v>391</v>
      </c>
      <c r="F16" t="s">
        <v>389</v>
      </c>
    </row>
    <row r="17" spans="1:7" x14ac:dyDescent="0.2">
      <c r="A17" t="s">
        <v>392</v>
      </c>
      <c r="B17">
        <v>1</v>
      </c>
      <c r="C17" t="s">
        <v>393</v>
      </c>
      <c r="D17">
        <v>0</v>
      </c>
      <c r="E17" t="s">
        <v>391</v>
      </c>
      <c r="F17" t="s">
        <v>389</v>
      </c>
    </row>
    <row r="18" spans="1:7" x14ac:dyDescent="0.2">
      <c r="A18" t="s">
        <v>394</v>
      </c>
      <c r="B18">
        <v>2</v>
      </c>
      <c r="C18" t="s">
        <v>393</v>
      </c>
      <c r="D18">
        <v>0</v>
      </c>
      <c r="E18" t="s">
        <v>391</v>
      </c>
      <c r="F18" t="s">
        <v>389</v>
      </c>
    </row>
    <row r="19" spans="1:7" x14ac:dyDescent="0.2">
      <c r="A19" t="s">
        <v>395</v>
      </c>
      <c r="B19">
        <v>1</v>
      </c>
      <c r="C19" t="s">
        <v>396</v>
      </c>
      <c r="D19">
        <v>0</v>
      </c>
      <c r="E19" t="s">
        <v>397</v>
      </c>
      <c r="F19" t="s">
        <v>389</v>
      </c>
    </row>
    <row r="20" spans="1:7" x14ac:dyDescent="0.2">
      <c r="A20" t="s">
        <v>398</v>
      </c>
      <c r="B20">
        <v>1</v>
      </c>
      <c r="C20" t="s">
        <v>289</v>
      </c>
      <c r="D20">
        <v>0</v>
      </c>
      <c r="E20" t="s">
        <v>397</v>
      </c>
      <c r="F20" t="s">
        <v>389</v>
      </c>
    </row>
    <row r="23" spans="1:7" ht="16" x14ac:dyDescent="0.2">
      <c r="A23" s="1" t="s">
        <v>399</v>
      </c>
    </row>
    <row r="24" spans="1:7" x14ac:dyDescent="0.2">
      <c r="A24" s="5" t="s">
        <v>400</v>
      </c>
    </row>
    <row r="26" spans="1:7" ht="16" x14ac:dyDescent="0.2">
      <c r="A26" s="3" t="s">
        <v>70</v>
      </c>
      <c r="B26" s="3" t="s">
        <v>401</v>
      </c>
      <c r="C26" s="3" t="s">
        <v>402</v>
      </c>
      <c r="D26" s="3" t="s">
        <v>403</v>
      </c>
      <c r="E26" s="3" t="s">
        <v>404</v>
      </c>
      <c r="F26" s="3" t="s">
        <v>405</v>
      </c>
      <c r="G26" s="3" t="s">
        <v>406</v>
      </c>
    </row>
    <row r="27" spans="1:7" x14ac:dyDescent="0.2">
      <c r="A27">
        <v>2025</v>
      </c>
      <c r="B27" t="s">
        <v>289</v>
      </c>
      <c r="C27" t="s">
        <v>289</v>
      </c>
      <c r="D27" t="s">
        <v>289</v>
      </c>
      <c r="E27" t="s">
        <v>289</v>
      </c>
      <c r="F27" t="s">
        <v>289</v>
      </c>
      <c r="G27" t="s">
        <v>289</v>
      </c>
    </row>
    <row r="28" spans="1:7" x14ac:dyDescent="0.2">
      <c r="A28">
        <v>2026</v>
      </c>
      <c r="B28" t="s">
        <v>289</v>
      </c>
      <c r="C28" t="s">
        <v>289</v>
      </c>
      <c r="D28" t="s">
        <v>289</v>
      </c>
      <c r="E28" t="s">
        <v>289</v>
      </c>
      <c r="F28" t="s">
        <v>289</v>
      </c>
      <c r="G28" t="s">
        <v>289</v>
      </c>
    </row>
    <row r="29" spans="1:7" x14ac:dyDescent="0.2">
      <c r="A29">
        <v>2027</v>
      </c>
      <c r="B29" t="s">
        <v>289</v>
      </c>
      <c r="C29" t="s">
        <v>289</v>
      </c>
      <c r="D29" t="s">
        <v>289</v>
      </c>
      <c r="E29" t="s">
        <v>289</v>
      </c>
      <c r="F29" t="s">
        <v>289</v>
      </c>
      <c r="G29" t="s">
        <v>289</v>
      </c>
    </row>
    <row r="30" spans="1:7" x14ac:dyDescent="0.2">
      <c r="A30">
        <v>2028</v>
      </c>
      <c r="B30" t="s">
        <v>289</v>
      </c>
      <c r="C30" t="s">
        <v>289</v>
      </c>
      <c r="D30" t="s">
        <v>289</v>
      </c>
      <c r="E30" t="s">
        <v>289</v>
      </c>
      <c r="F30" t="s">
        <v>289</v>
      </c>
      <c r="G30" t="s">
        <v>289</v>
      </c>
    </row>
    <row r="31" spans="1:7" x14ac:dyDescent="0.2">
      <c r="A31">
        <v>2029</v>
      </c>
      <c r="B31" t="s">
        <v>289</v>
      </c>
      <c r="C31" t="s">
        <v>289</v>
      </c>
      <c r="D31" t="s">
        <v>289</v>
      </c>
      <c r="E31" t="s">
        <v>289</v>
      </c>
      <c r="F31" t="s">
        <v>289</v>
      </c>
      <c r="G31" t="s">
        <v>289</v>
      </c>
    </row>
    <row r="32" spans="1:7" x14ac:dyDescent="0.2">
      <c r="A32">
        <v>2030</v>
      </c>
      <c r="B32" t="s">
        <v>289</v>
      </c>
      <c r="C32" t="s">
        <v>289</v>
      </c>
      <c r="D32" t="s">
        <v>289</v>
      </c>
      <c r="E32" t="s">
        <v>289</v>
      </c>
      <c r="F32" t="s">
        <v>289</v>
      </c>
      <c r="G32" t="s">
        <v>289</v>
      </c>
    </row>
    <row r="33" spans="1:7" x14ac:dyDescent="0.2">
      <c r="A33">
        <v>2031</v>
      </c>
      <c r="B33" t="s">
        <v>289</v>
      </c>
      <c r="C33" t="s">
        <v>289</v>
      </c>
      <c r="D33" t="s">
        <v>289</v>
      </c>
      <c r="E33" t="s">
        <v>289</v>
      </c>
      <c r="F33" t="s">
        <v>289</v>
      </c>
      <c r="G33" t="s">
        <v>289</v>
      </c>
    </row>
    <row r="34" spans="1:7" x14ac:dyDescent="0.2">
      <c r="A34">
        <v>2032</v>
      </c>
      <c r="B34" t="s">
        <v>289</v>
      </c>
      <c r="C34" t="s">
        <v>289</v>
      </c>
      <c r="D34" t="s">
        <v>289</v>
      </c>
      <c r="E34" t="s">
        <v>289</v>
      </c>
      <c r="F34" t="s">
        <v>289</v>
      </c>
      <c r="G34" t="s">
        <v>289</v>
      </c>
    </row>
    <row r="35" spans="1:7" x14ac:dyDescent="0.2">
      <c r="A35">
        <v>2033</v>
      </c>
      <c r="B35" t="s">
        <v>289</v>
      </c>
      <c r="C35" t="s">
        <v>289</v>
      </c>
      <c r="D35" t="s">
        <v>289</v>
      </c>
      <c r="E35" t="s">
        <v>289</v>
      </c>
      <c r="F35" t="s">
        <v>289</v>
      </c>
      <c r="G35" t="s">
        <v>289</v>
      </c>
    </row>
    <row r="36" spans="1:7" x14ac:dyDescent="0.2">
      <c r="A36">
        <v>2034</v>
      </c>
      <c r="B36" t="s">
        <v>289</v>
      </c>
      <c r="C36" t="s">
        <v>289</v>
      </c>
      <c r="D36" t="s">
        <v>289</v>
      </c>
      <c r="E36" t="s">
        <v>289</v>
      </c>
      <c r="F36" t="s">
        <v>289</v>
      </c>
      <c r="G36" t="s">
        <v>289</v>
      </c>
    </row>
    <row r="37" spans="1:7" x14ac:dyDescent="0.2">
      <c r="A37">
        <v>2035</v>
      </c>
      <c r="B37" t="s">
        <v>290</v>
      </c>
      <c r="C37" t="s">
        <v>407</v>
      </c>
      <c r="D37" t="s">
        <v>408</v>
      </c>
      <c r="E37" t="s">
        <v>409</v>
      </c>
      <c r="F37" t="s">
        <v>410</v>
      </c>
      <c r="G37" t="s">
        <v>97</v>
      </c>
    </row>
    <row r="38" spans="1:7" x14ac:dyDescent="0.2">
      <c r="A38">
        <v>2036</v>
      </c>
      <c r="B38" t="s">
        <v>318</v>
      </c>
      <c r="C38" t="s">
        <v>411</v>
      </c>
      <c r="D38" t="s">
        <v>412</v>
      </c>
      <c r="E38" t="s">
        <v>413</v>
      </c>
      <c r="F38" t="s">
        <v>414</v>
      </c>
      <c r="G38" t="s">
        <v>415</v>
      </c>
    </row>
    <row r="39" spans="1:7" x14ac:dyDescent="0.2">
      <c r="A39">
        <v>2037</v>
      </c>
      <c r="B39" t="s">
        <v>320</v>
      </c>
      <c r="C39" t="s">
        <v>411</v>
      </c>
      <c r="D39" t="s">
        <v>416</v>
      </c>
      <c r="E39" t="s">
        <v>413</v>
      </c>
      <c r="F39" t="s">
        <v>417</v>
      </c>
      <c r="G39" t="s">
        <v>415</v>
      </c>
    </row>
    <row r="40" spans="1:7" x14ac:dyDescent="0.2">
      <c r="A40">
        <v>2038</v>
      </c>
      <c r="B40" t="s">
        <v>320</v>
      </c>
      <c r="C40" t="s">
        <v>411</v>
      </c>
      <c r="D40" t="s">
        <v>416</v>
      </c>
      <c r="E40" t="s">
        <v>413</v>
      </c>
      <c r="F40" t="s">
        <v>414</v>
      </c>
      <c r="G40" t="s">
        <v>415</v>
      </c>
    </row>
    <row r="41" spans="1:7" x14ac:dyDescent="0.2">
      <c r="A41">
        <v>2039</v>
      </c>
      <c r="B41" t="s">
        <v>323</v>
      </c>
      <c r="C41" t="s">
        <v>418</v>
      </c>
      <c r="D41" t="s">
        <v>416</v>
      </c>
      <c r="E41" t="s">
        <v>419</v>
      </c>
      <c r="F41" t="s">
        <v>417</v>
      </c>
      <c r="G41" t="s">
        <v>415</v>
      </c>
    </row>
    <row r="42" spans="1:7" x14ac:dyDescent="0.2">
      <c r="A42">
        <v>2040</v>
      </c>
      <c r="B42" t="s">
        <v>289</v>
      </c>
      <c r="C42" t="s">
        <v>289</v>
      </c>
      <c r="D42" t="s">
        <v>289</v>
      </c>
      <c r="E42" t="s">
        <v>289</v>
      </c>
      <c r="F42" t="s">
        <v>289</v>
      </c>
      <c r="G42" t="s">
        <v>289</v>
      </c>
    </row>
    <row r="43" spans="1:7" x14ac:dyDescent="0.2">
      <c r="A43">
        <v>2041</v>
      </c>
      <c r="B43" t="s">
        <v>324</v>
      </c>
      <c r="C43" t="s">
        <v>420</v>
      </c>
      <c r="D43" t="s">
        <v>183</v>
      </c>
      <c r="E43" t="s">
        <v>421</v>
      </c>
      <c r="F43" t="s">
        <v>422</v>
      </c>
      <c r="G43" t="s">
        <v>423</v>
      </c>
    </row>
    <row r="44" spans="1:7" x14ac:dyDescent="0.2">
      <c r="A44">
        <v>2042</v>
      </c>
      <c r="B44" t="s">
        <v>326</v>
      </c>
      <c r="C44" t="s">
        <v>424</v>
      </c>
      <c r="D44" t="s">
        <v>425</v>
      </c>
      <c r="E44" t="s">
        <v>426</v>
      </c>
      <c r="F44" t="s">
        <v>427</v>
      </c>
      <c r="G44" t="s">
        <v>428</v>
      </c>
    </row>
    <row r="45" spans="1:7" x14ac:dyDescent="0.2">
      <c r="A45">
        <v>2043</v>
      </c>
      <c r="B45" t="s">
        <v>328</v>
      </c>
      <c r="C45" t="s">
        <v>429</v>
      </c>
      <c r="D45" t="s">
        <v>430</v>
      </c>
      <c r="E45" t="s">
        <v>431</v>
      </c>
      <c r="F45" t="s">
        <v>432</v>
      </c>
      <c r="G45" t="s">
        <v>433</v>
      </c>
    </row>
    <row r="46" spans="1:7" x14ac:dyDescent="0.2">
      <c r="A46">
        <v>2044</v>
      </c>
      <c r="B46" t="s">
        <v>330</v>
      </c>
      <c r="C46" t="s">
        <v>434</v>
      </c>
      <c r="D46" t="s">
        <v>435</v>
      </c>
      <c r="E46" t="s">
        <v>436</v>
      </c>
      <c r="F46" t="s">
        <v>437</v>
      </c>
      <c r="G46" t="s">
        <v>438</v>
      </c>
    </row>
    <row r="47" spans="1:7" x14ac:dyDescent="0.2">
      <c r="A47">
        <v>2045</v>
      </c>
      <c r="B47" t="s">
        <v>332</v>
      </c>
      <c r="C47" t="s">
        <v>439</v>
      </c>
      <c r="D47" t="s">
        <v>440</v>
      </c>
      <c r="E47" t="s">
        <v>441</v>
      </c>
      <c r="F47" t="s">
        <v>442</v>
      </c>
      <c r="G47" t="s">
        <v>408</v>
      </c>
    </row>
    <row r="48" spans="1:7" x14ac:dyDescent="0.2">
      <c r="A48">
        <v>2046</v>
      </c>
      <c r="B48" t="s">
        <v>333</v>
      </c>
      <c r="C48" t="s">
        <v>443</v>
      </c>
      <c r="D48" t="s">
        <v>444</v>
      </c>
      <c r="E48" t="s">
        <v>445</v>
      </c>
      <c r="F48" t="s">
        <v>446</v>
      </c>
      <c r="G48" t="s">
        <v>396</v>
      </c>
    </row>
    <row r="49" spans="1:7" x14ac:dyDescent="0.2">
      <c r="A49">
        <v>2047</v>
      </c>
      <c r="B49" t="s">
        <v>335</v>
      </c>
      <c r="C49" t="s">
        <v>447</v>
      </c>
      <c r="D49" t="s">
        <v>448</v>
      </c>
      <c r="E49" t="s">
        <v>449</v>
      </c>
      <c r="F49" t="s">
        <v>450</v>
      </c>
      <c r="G49" t="s">
        <v>451</v>
      </c>
    </row>
    <row r="50" spans="1:7" x14ac:dyDescent="0.2">
      <c r="A50">
        <v>2048</v>
      </c>
      <c r="B50" t="s">
        <v>337</v>
      </c>
      <c r="C50" t="s">
        <v>452</v>
      </c>
      <c r="D50" t="s">
        <v>417</v>
      </c>
      <c r="E50" t="s">
        <v>453</v>
      </c>
      <c r="F50" t="s">
        <v>454</v>
      </c>
      <c r="G50" t="s">
        <v>455</v>
      </c>
    </row>
    <row r="51" spans="1:7" x14ac:dyDescent="0.2">
      <c r="A51">
        <v>2049</v>
      </c>
      <c r="B51" t="s">
        <v>339</v>
      </c>
      <c r="C51" t="s">
        <v>456</v>
      </c>
      <c r="D51" t="s">
        <v>457</v>
      </c>
      <c r="E51" t="s">
        <v>458</v>
      </c>
      <c r="F51" t="s">
        <v>459</v>
      </c>
      <c r="G51" t="s">
        <v>460</v>
      </c>
    </row>
    <row r="52" spans="1:7" x14ac:dyDescent="0.2">
      <c r="A52">
        <v>2050</v>
      </c>
      <c r="B52" t="s">
        <v>341</v>
      </c>
      <c r="C52" t="s">
        <v>461</v>
      </c>
      <c r="D52" t="s">
        <v>436</v>
      </c>
      <c r="E52" t="s">
        <v>418</v>
      </c>
      <c r="F52" t="s">
        <v>462</v>
      </c>
      <c r="G52" t="s">
        <v>409</v>
      </c>
    </row>
    <row r="55" spans="1:7" ht="16" x14ac:dyDescent="0.2">
      <c r="A55" s="1" t="s">
        <v>463</v>
      </c>
    </row>
    <row r="56" spans="1:7" x14ac:dyDescent="0.2">
      <c r="A56" s="5" t="s">
        <v>464</v>
      </c>
    </row>
    <row r="58" spans="1:7" ht="16" x14ac:dyDescent="0.2">
      <c r="A58" s="3" t="s">
        <v>70</v>
      </c>
      <c r="B58" s="3" t="s">
        <v>298</v>
      </c>
      <c r="C58" s="3" t="s">
        <v>465</v>
      </c>
      <c r="D58" s="3" t="s">
        <v>466</v>
      </c>
      <c r="E58" s="3" t="s">
        <v>467</v>
      </c>
      <c r="F58" s="3" t="s">
        <v>468</v>
      </c>
      <c r="G58" s="3" t="s">
        <v>469</v>
      </c>
    </row>
    <row r="59" spans="1:7" x14ac:dyDescent="0.2">
      <c r="A59">
        <v>2025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</row>
    <row r="60" spans="1:7" x14ac:dyDescent="0.2">
      <c r="A60">
        <v>2026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</row>
    <row r="61" spans="1:7" x14ac:dyDescent="0.2">
      <c r="A61">
        <v>2027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</row>
    <row r="62" spans="1:7" x14ac:dyDescent="0.2">
      <c r="A62">
        <v>2028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</row>
    <row r="63" spans="1:7" x14ac:dyDescent="0.2">
      <c r="A63">
        <v>2029</v>
      </c>
      <c r="B63">
        <v>0</v>
      </c>
      <c r="C63">
        <v>0</v>
      </c>
      <c r="D63">
        <v>0</v>
      </c>
      <c r="E63">
        <v>0</v>
      </c>
      <c r="F63">
        <v>0</v>
      </c>
      <c r="G63">
        <v>0</v>
      </c>
    </row>
    <row r="64" spans="1:7" x14ac:dyDescent="0.2">
      <c r="A64">
        <v>2030</v>
      </c>
      <c r="B64">
        <v>0</v>
      </c>
      <c r="C64">
        <v>0</v>
      </c>
      <c r="D64">
        <v>0</v>
      </c>
      <c r="E64">
        <v>0</v>
      </c>
      <c r="F64">
        <v>0</v>
      </c>
      <c r="G64">
        <v>0</v>
      </c>
    </row>
    <row r="65" spans="1:7" x14ac:dyDescent="0.2">
      <c r="A65">
        <v>2031</v>
      </c>
      <c r="B65">
        <v>0</v>
      </c>
      <c r="C65">
        <v>0</v>
      </c>
      <c r="D65">
        <v>0</v>
      </c>
      <c r="E65">
        <v>0</v>
      </c>
      <c r="F65">
        <v>0</v>
      </c>
      <c r="G65">
        <v>0</v>
      </c>
    </row>
    <row r="66" spans="1:7" x14ac:dyDescent="0.2">
      <c r="A66">
        <v>2032</v>
      </c>
      <c r="B66">
        <v>0</v>
      </c>
      <c r="C66">
        <v>0</v>
      </c>
      <c r="D66">
        <v>0</v>
      </c>
      <c r="E66">
        <v>0</v>
      </c>
      <c r="F66">
        <v>0</v>
      </c>
      <c r="G66">
        <v>0</v>
      </c>
    </row>
    <row r="67" spans="1:7" x14ac:dyDescent="0.2">
      <c r="A67">
        <v>2033</v>
      </c>
      <c r="B67">
        <v>0</v>
      </c>
      <c r="C67">
        <v>0</v>
      </c>
      <c r="D67">
        <v>0</v>
      </c>
      <c r="E67">
        <v>0</v>
      </c>
      <c r="F67">
        <v>0</v>
      </c>
      <c r="G67">
        <v>0</v>
      </c>
    </row>
    <row r="68" spans="1:7" x14ac:dyDescent="0.2">
      <c r="A68">
        <v>2034</v>
      </c>
      <c r="B68">
        <v>0</v>
      </c>
      <c r="C68">
        <v>0</v>
      </c>
      <c r="D68">
        <v>0</v>
      </c>
      <c r="E68">
        <v>0</v>
      </c>
      <c r="F68">
        <v>0</v>
      </c>
      <c r="G68">
        <v>0</v>
      </c>
    </row>
    <row r="69" spans="1:7" x14ac:dyDescent="0.2">
      <c r="A69">
        <v>2035</v>
      </c>
      <c r="B69">
        <v>1.6</v>
      </c>
      <c r="C69">
        <v>0.3</v>
      </c>
      <c r="D69">
        <v>0.3</v>
      </c>
      <c r="E69">
        <v>0.1</v>
      </c>
      <c r="F69">
        <v>1</v>
      </c>
      <c r="G69">
        <v>0</v>
      </c>
    </row>
    <row r="70" spans="1:7" x14ac:dyDescent="0.2">
      <c r="A70">
        <v>2036</v>
      </c>
      <c r="B70">
        <v>7.5</v>
      </c>
      <c r="C70">
        <v>1.2</v>
      </c>
      <c r="D70">
        <v>1.3</v>
      </c>
      <c r="E70">
        <v>0.3</v>
      </c>
      <c r="F70">
        <v>4.7</v>
      </c>
      <c r="G70">
        <v>0</v>
      </c>
    </row>
    <row r="71" spans="1:7" x14ac:dyDescent="0.2">
      <c r="A71">
        <v>2037</v>
      </c>
      <c r="B71">
        <v>13.7</v>
      </c>
      <c r="C71">
        <v>2.2999999999999998</v>
      </c>
      <c r="D71">
        <v>2.4</v>
      </c>
      <c r="E71">
        <v>0.6</v>
      </c>
      <c r="F71">
        <v>8.5</v>
      </c>
      <c r="G71">
        <v>0</v>
      </c>
    </row>
    <row r="72" spans="1:7" x14ac:dyDescent="0.2">
      <c r="A72">
        <v>2038</v>
      </c>
      <c r="B72">
        <v>20</v>
      </c>
      <c r="C72">
        <v>3.3</v>
      </c>
      <c r="D72">
        <v>3.5</v>
      </c>
      <c r="E72">
        <v>0.9</v>
      </c>
      <c r="F72">
        <v>12.4</v>
      </c>
      <c r="G72">
        <v>0</v>
      </c>
    </row>
    <row r="73" spans="1:7" x14ac:dyDescent="0.2">
      <c r="A73">
        <v>2039</v>
      </c>
      <c r="B73">
        <v>26.5</v>
      </c>
      <c r="C73">
        <v>4.4000000000000004</v>
      </c>
      <c r="D73">
        <v>4.5999999999999996</v>
      </c>
      <c r="E73">
        <v>1.1000000000000001</v>
      </c>
      <c r="F73">
        <v>16.399999999999999</v>
      </c>
      <c r="G73">
        <v>0</v>
      </c>
    </row>
    <row r="74" spans="1:7" x14ac:dyDescent="0.2">
      <c r="A74">
        <v>2040</v>
      </c>
      <c r="B74">
        <v>26.5</v>
      </c>
      <c r="C74">
        <v>4.4000000000000004</v>
      </c>
      <c r="D74">
        <v>4.5999999999999996</v>
      </c>
      <c r="E74">
        <v>1.1000000000000001</v>
      </c>
      <c r="F74">
        <v>16.399999999999999</v>
      </c>
      <c r="G74">
        <v>0</v>
      </c>
    </row>
    <row r="75" spans="1:7" x14ac:dyDescent="0.2">
      <c r="A75">
        <v>2041</v>
      </c>
      <c r="B75">
        <v>37.700000000000003</v>
      </c>
      <c r="C75">
        <v>6.2</v>
      </c>
      <c r="D75">
        <v>6.5</v>
      </c>
      <c r="E75">
        <v>1.6</v>
      </c>
      <c r="F75">
        <v>23.3</v>
      </c>
      <c r="G75">
        <v>0</v>
      </c>
    </row>
    <row r="76" spans="1:7" x14ac:dyDescent="0.2">
      <c r="A76">
        <v>2042</v>
      </c>
      <c r="B76">
        <v>51</v>
      </c>
      <c r="C76">
        <v>8.4</v>
      </c>
      <c r="D76">
        <v>8.9</v>
      </c>
      <c r="E76">
        <v>2.2000000000000002</v>
      </c>
      <c r="F76">
        <v>31.5</v>
      </c>
      <c r="G76">
        <v>0</v>
      </c>
    </row>
    <row r="77" spans="1:7" x14ac:dyDescent="0.2">
      <c r="A77">
        <v>2043</v>
      </c>
      <c r="B77">
        <v>64.3</v>
      </c>
      <c r="C77">
        <v>10.7</v>
      </c>
      <c r="D77">
        <v>11.2</v>
      </c>
      <c r="E77">
        <v>2.7</v>
      </c>
      <c r="F77">
        <v>39.799999999999997</v>
      </c>
      <c r="G77">
        <v>0</v>
      </c>
    </row>
    <row r="78" spans="1:7" x14ac:dyDescent="0.2">
      <c r="A78">
        <v>2044</v>
      </c>
      <c r="B78">
        <v>77.7</v>
      </c>
      <c r="C78">
        <v>12.9</v>
      </c>
      <c r="D78">
        <v>13.5</v>
      </c>
      <c r="E78">
        <v>3.3</v>
      </c>
      <c r="F78">
        <v>48</v>
      </c>
      <c r="G78">
        <v>0</v>
      </c>
    </row>
    <row r="79" spans="1:7" x14ac:dyDescent="0.2">
      <c r="A79">
        <v>2045</v>
      </c>
      <c r="B79">
        <v>91</v>
      </c>
      <c r="C79">
        <v>15.1</v>
      </c>
      <c r="D79">
        <v>15.8</v>
      </c>
      <c r="E79">
        <v>3.9</v>
      </c>
      <c r="F79">
        <v>56.2</v>
      </c>
      <c r="G79">
        <v>0</v>
      </c>
    </row>
    <row r="80" spans="1:7" x14ac:dyDescent="0.2">
      <c r="A80">
        <v>2046</v>
      </c>
      <c r="B80">
        <v>104.2</v>
      </c>
      <c r="C80">
        <v>17.3</v>
      </c>
      <c r="D80">
        <v>18.100000000000001</v>
      </c>
      <c r="E80">
        <v>4.5</v>
      </c>
      <c r="F80">
        <v>64.400000000000006</v>
      </c>
      <c r="G80">
        <v>0</v>
      </c>
    </row>
    <row r="81" spans="1:7" x14ac:dyDescent="0.2">
      <c r="A81">
        <v>2047</v>
      </c>
      <c r="B81">
        <v>117.4</v>
      </c>
      <c r="C81">
        <v>19.399999999999999</v>
      </c>
      <c r="D81">
        <v>20.399999999999999</v>
      </c>
      <c r="E81">
        <v>5</v>
      </c>
      <c r="F81">
        <v>72.599999999999994</v>
      </c>
      <c r="G81">
        <v>0</v>
      </c>
    </row>
    <row r="82" spans="1:7" x14ac:dyDescent="0.2">
      <c r="A82">
        <v>2048</v>
      </c>
      <c r="B82">
        <v>130.6</v>
      </c>
      <c r="C82">
        <v>21.6</v>
      </c>
      <c r="D82">
        <v>22.7</v>
      </c>
      <c r="E82">
        <v>5.6</v>
      </c>
      <c r="F82">
        <v>80.7</v>
      </c>
      <c r="G82">
        <v>0</v>
      </c>
    </row>
    <row r="83" spans="1:7" x14ac:dyDescent="0.2">
      <c r="A83">
        <v>2049</v>
      </c>
      <c r="B83">
        <v>143.80000000000001</v>
      </c>
      <c r="C83">
        <v>23.8</v>
      </c>
      <c r="D83">
        <v>25</v>
      </c>
      <c r="E83">
        <v>6.1</v>
      </c>
      <c r="F83">
        <v>88.9</v>
      </c>
      <c r="G83">
        <v>0</v>
      </c>
    </row>
    <row r="84" spans="1:7" x14ac:dyDescent="0.2">
      <c r="A84">
        <v>2050</v>
      </c>
      <c r="B84">
        <v>157.1</v>
      </c>
      <c r="C84">
        <v>26</v>
      </c>
      <c r="D84">
        <v>27.3</v>
      </c>
      <c r="E84">
        <v>6.7</v>
      </c>
      <c r="F84">
        <v>97.1</v>
      </c>
      <c r="G84">
        <v>0</v>
      </c>
    </row>
    <row r="87" spans="1:7" ht="16" x14ac:dyDescent="0.2">
      <c r="A87" s="1" t="s">
        <v>470</v>
      </c>
    </row>
    <row r="89" spans="1:7" ht="32" x14ac:dyDescent="0.2">
      <c r="A89" s="3" t="s">
        <v>374</v>
      </c>
      <c r="B89" s="3" t="s">
        <v>471</v>
      </c>
      <c r="C89" s="3" t="s">
        <v>160</v>
      </c>
      <c r="D89" s="3" t="s">
        <v>472</v>
      </c>
    </row>
    <row r="90" spans="1:7" x14ac:dyDescent="0.2">
      <c r="A90" t="s">
        <v>161</v>
      </c>
      <c r="B90" t="s">
        <v>473</v>
      </c>
      <c r="C90" t="s">
        <v>474</v>
      </c>
      <c r="D90" t="s">
        <v>475</v>
      </c>
    </row>
    <row r="91" spans="1:7" x14ac:dyDescent="0.2">
      <c r="A91" t="s">
        <v>164</v>
      </c>
      <c r="B91" t="s">
        <v>476</v>
      </c>
      <c r="C91" t="s">
        <v>477</v>
      </c>
      <c r="D91" t="s">
        <v>478</v>
      </c>
    </row>
    <row r="92" spans="1:7" x14ac:dyDescent="0.2">
      <c r="A92" t="s">
        <v>167</v>
      </c>
      <c r="B92" t="s">
        <v>479</v>
      </c>
      <c r="C92" t="s">
        <v>480</v>
      </c>
      <c r="D92" t="s">
        <v>481</v>
      </c>
    </row>
    <row r="93" spans="1:7" x14ac:dyDescent="0.2">
      <c r="A93" t="s">
        <v>170</v>
      </c>
      <c r="B93" t="s">
        <v>482</v>
      </c>
      <c r="C93" t="s">
        <v>483</v>
      </c>
      <c r="D93" t="s">
        <v>484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30"/>
  <sheetViews>
    <sheetView workbookViewId="0"/>
  </sheetViews>
  <sheetFormatPr baseColWidth="10" defaultColWidth="8.83203125" defaultRowHeight="15" x14ac:dyDescent="0.2"/>
  <cols>
    <col min="1" max="3" width="35" customWidth="1"/>
  </cols>
  <sheetData>
    <row r="1" spans="1:3" ht="19" x14ac:dyDescent="0.25">
      <c r="A1" s="4" t="s">
        <v>485</v>
      </c>
    </row>
    <row r="3" spans="1:3" ht="16" x14ac:dyDescent="0.2">
      <c r="A3" s="1" t="s">
        <v>486</v>
      </c>
    </row>
    <row r="5" spans="1:3" ht="16" x14ac:dyDescent="0.2">
      <c r="A5" s="3" t="s">
        <v>487</v>
      </c>
      <c r="B5" s="3" t="s">
        <v>488</v>
      </c>
      <c r="C5" s="3" t="s">
        <v>81</v>
      </c>
    </row>
    <row r="6" spans="1:3" x14ac:dyDescent="0.2">
      <c r="A6" t="s">
        <v>132</v>
      </c>
      <c r="B6" t="s">
        <v>489</v>
      </c>
      <c r="C6" t="s">
        <v>136</v>
      </c>
    </row>
    <row r="7" spans="1:3" x14ac:dyDescent="0.2">
      <c r="A7" t="s">
        <v>490</v>
      </c>
      <c r="B7" t="s">
        <v>491</v>
      </c>
      <c r="C7" t="s">
        <v>492</v>
      </c>
    </row>
    <row r="8" spans="1:3" x14ac:dyDescent="0.2">
      <c r="A8" t="s">
        <v>493</v>
      </c>
      <c r="B8" t="s">
        <v>494</v>
      </c>
      <c r="C8" t="s">
        <v>495</v>
      </c>
    </row>
    <row r="11" spans="1:3" ht="16" x14ac:dyDescent="0.2">
      <c r="A11" s="1" t="s">
        <v>496</v>
      </c>
    </row>
    <row r="13" spans="1:3" x14ac:dyDescent="0.2">
      <c r="A13" t="s">
        <v>224</v>
      </c>
    </row>
    <row r="14" spans="1:3" x14ac:dyDescent="0.2">
      <c r="A14" s="7" t="s">
        <v>497</v>
      </c>
    </row>
    <row r="15" spans="1:3" x14ac:dyDescent="0.2">
      <c r="A15" s="7" t="s">
        <v>498</v>
      </c>
    </row>
    <row r="17" spans="1:3" ht="16" x14ac:dyDescent="0.2">
      <c r="A17" s="1" t="s">
        <v>499</v>
      </c>
    </row>
    <row r="19" spans="1:3" ht="16" x14ac:dyDescent="0.2">
      <c r="A19" s="3" t="s">
        <v>500</v>
      </c>
      <c r="B19" s="3" t="s">
        <v>501</v>
      </c>
      <c r="C19" s="3" t="s">
        <v>502</v>
      </c>
    </row>
    <row r="20" spans="1:3" x14ac:dyDescent="0.2">
      <c r="A20" t="s">
        <v>503</v>
      </c>
      <c r="B20" t="s">
        <v>504</v>
      </c>
      <c r="C20" t="s">
        <v>505</v>
      </c>
    </row>
    <row r="21" spans="1:3" x14ac:dyDescent="0.2">
      <c r="A21" t="s">
        <v>17</v>
      </c>
      <c r="B21" t="s">
        <v>506</v>
      </c>
      <c r="C21" t="s">
        <v>507</v>
      </c>
    </row>
    <row r="22" spans="1:3" x14ac:dyDescent="0.2">
      <c r="A22" t="s">
        <v>508</v>
      </c>
      <c r="B22" t="s">
        <v>509</v>
      </c>
      <c r="C22" t="s">
        <v>510</v>
      </c>
    </row>
    <row r="25" spans="1:3" ht="16" x14ac:dyDescent="0.2">
      <c r="A25" s="1" t="s">
        <v>511</v>
      </c>
    </row>
    <row r="27" spans="1:3" x14ac:dyDescent="0.2">
      <c r="A27" t="s">
        <v>512</v>
      </c>
    </row>
    <row r="28" spans="1:3" x14ac:dyDescent="0.2">
      <c r="A28" t="s">
        <v>513</v>
      </c>
    </row>
    <row r="29" spans="1:3" x14ac:dyDescent="0.2">
      <c r="A29" t="s">
        <v>514</v>
      </c>
    </row>
    <row r="30" spans="1:3" x14ac:dyDescent="0.2">
      <c r="A30" t="s">
        <v>515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F43"/>
  <sheetViews>
    <sheetView workbookViewId="0"/>
  </sheetViews>
  <sheetFormatPr baseColWidth="10" defaultColWidth="8.83203125" defaultRowHeight="15" x14ac:dyDescent="0.2"/>
  <cols>
    <col min="1" max="1" width="25" customWidth="1"/>
    <col min="2" max="2" width="18" customWidth="1"/>
    <col min="3" max="6" width="15" customWidth="1"/>
  </cols>
  <sheetData>
    <row r="1" spans="1:3" ht="19" x14ac:dyDescent="0.25">
      <c r="A1" s="4" t="s">
        <v>516</v>
      </c>
    </row>
    <row r="2" spans="1:3" x14ac:dyDescent="0.2">
      <c r="A2" s="5" t="s">
        <v>517</v>
      </c>
    </row>
    <row r="4" spans="1:3" ht="16" x14ac:dyDescent="0.2">
      <c r="A4" s="1" t="s">
        <v>518</v>
      </c>
    </row>
    <row r="6" spans="1:3" ht="16" x14ac:dyDescent="0.2">
      <c r="A6" s="3" t="s">
        <v>487</v>
      </c>
      <c r="B6" s="3" t="s">
        <v>31</v>
      </c>
      <c r="C6" s="3" t="s">
        <v>103</v>
      </c>
    </row>
    <row r="7" spans="1:3" x14ac:dyDescent="0.2">
      <c r="A7" t="s">
        <v>519</v>
      </c>
      <c r="B7" t="s">
        <v>95</v>
      </c>
      <c r="C7" t="s">
        <v>520</v>
      </c>
    </row>
    <row r="8" spans="1:3" x14ac:dyDescent="0.2">
      <c r="A8" t="s">
        <v>521</v>
      </c>
      <c r="B8" t="s">
        <v>522</v>
      </c>
      <c r="C8" t="s">
        <v>523</v>
      </c>
    </row>
    <row r="9" spans="1:3" x14ac:dyDescent="0.2">
      <c r="A9" t="s">
        <v>524</v>
      </c>
      <c r="B9" t="s">
        <v>98</v>
      </c>
      <c r="C9" t="s">
        <v>98</v>
      </c>
    </row>
    <row r="10" spans="1:3" x14ac:dyDescent="0.2">
      <c r="A10" t="s">
        <v>525</v>
      </c>
      <c r="B10" t="s">
        <v>99</v>
      </c>
      <c r="C10" t="s">
        <v>108</v>
      </c>
    </row>
    <row r="11" spans="1:3" x14ac:dyDescent="0.2">
      <c r="A11" t="s">
        <v>526</v>
      </c>
      <c r="B11" t="s">
        <v>101</v>
      </c>
      <c r="C11" t="s">
        <v>110</v>
      </c>
    </row>
    <row r="12" spans="1:3" x14ac:dyDescent="0.2">
      <c r="A12" t="s">
        <v>527</v>
      </c>
      <c r="B12" t="s">
        <v>528</v>
      </c>
      <c r="C12" t="s">
        <v>529</v>
      </c>
    </row>
    <row r="13" spans="1:3" x14ac:dyDescent="0.2">
      <c r="A13" t="s">
        <v>530</v>
      </c>
      <c r="B13" t="s">
        <v>531</v>
      </c>
      <c r="C13" t="s">
        <v>532</v>
      </c>
    </row>
    <row r="14" spans="1:3" x14ac:dyDescent="0.2">
      <c r="A14" t="s">
        <v>533</v>
      </c>
      <c r="B14" t="s">
        <v>534</v>
      </c>
      <c r="C14" t="s">
        <v>535</v>
      </c>
    </row>
    <row r="17" spans="1:3" ht="16" x14ac:dyDescent="0.2">
      <c r="A17" s="1" t="s">
        <v>536</v>
      </c>
    </row>
    <row r="19" spans="1:3" ht="16" x14ac:dyDescent="0.2">
      <c r="A19" s="3" t="s">
        <v>500</v>
      </c>
      <c r="B19" s="3" t="s">
        <v>31</v>
      </c>
      <c r="C19" s="3" t="s">
        <v>103</v>
      </c>
    </row>
    <row r="20" spans="1:3" x14ac:dyDescent="0.2">
      <c r="A20" t="s">
        <v>537</v>
      </c>
      <c r="B20" t="s">
        <v>538</v>
      </c>
      <c r="C20" t="s">
        <v>539</v>
      </c>
    </row>
    <row r="21" spans="1:3" x14ac:dyDescent="0.2">
      <c r="A21" t="s">
        <v>540</v>
      </c>
      <c r="B21" t="s">
        <v>541</v>
      </c>
      <c r="C21" t="s">
        <v>542</v>
      </c>
    </row>
    <row r="22" spans="1:3" x14ac:dyDescent="0.2">
      <c r="A22" t="s">
        <v>543</v>
      </c>
      <c r="B22" t="s">
        <v>289</v>
      </c>
      <c r="C22" t="s">
        <v>544</v>
      </c>
    </row>
    <row r="23" spans="1:3" x14ac:dyDescent="0.2">
      <c r="A23" t="s">
        <v>545</v>
      </c>
      <c r="B23" t="s">
        <v>546</v>
      </c>
      <c r="C23" t="s">
        <v>547</v>
      </c>
    </row>
    <row r="26" spans="1:3" ht="16" x14ac:dyDescent="0.2">
      <c r="A26" s="1" t="s">
        <v>548</v>
      </c>
    </row>
    <row r="28" spans="1:3" x14ac:dyDescent="0.2">
      <c r="A28" t="s">
        <v>549</v>
      </c>
    </row>
    <row r="29" spans="1:3" x14ac:dyDescent="0.2">
      <c r="A29" t="s">
        <v>550</v>
      </c>
    </row>
    <row r="30" spans="1:3" x14ac:dyDescent="0.2">
      <c r="A30" t="s">
        <v>551</v>
      </c>
    </row>
    <row r="31" spans="1:3" x14ac:dyDescent="0.2">
      <c r="A31" t="s">
        <v>552</v>
      </c>
    </row>
    <row r="32" spans="1:3" x14ac:dyDescent="0.2">
      <c r="A32" t="s">
        <v>553</v>
      </c>
    </row>
    <row r="35" spans="1:6" ht="16" x14ac:dyDescent="0.2">
      <c r="A35" s="1" t="s">
        <v>554</v>
      </c>
    </row>
    <row r="37" spans="1:6" ht="16" x14ac:dyDescent="0.2">
      <c r="A37" s="3" t="s">
        <v>555</v>
      </c>
      <c r="B37" s="3" t="s">
        <v>556</v>
      </c>
      <c r="C37" s="3" t="s">
        <v>557</v>
      </c>
      <c r="D37" s="3" t="s">
        <v>558</v>
      </c>
      <c r="E37" s="3" t="s">
        <v>559</v>
      </c>
      <c r="F37" s="3" t="s">
        <v>560</v>
      </c>
    </row>
    <row r="38" spans="1:6" x14ac:dyDescent="0.2">
      <c r="A38" t="s">
        <v>561</v>
      </c>
      <c r="B38" t="s">
        <v>103</v>
      </c>
      <c r="C38">
        <v>0</v>
      </c>
      <c r="D38" t="s">
        <v>562</v>
      </c>
      <c r="E38">
        <v>0</v>
      </c>
      <c r="F38" t="s">
        <v>563</v>
      </c>
    </row>
    <row r="39" spans="1:6" x14ac:dyDescent="0.2">
      <c r="A39" t="s">
        <v>561</v>
      </c>
      <c r="B39" t="s">
        <v>31</v>
      </c>
      <c r="C39">
        <v>0</v>
      </c>
      <c r="D39" t="s">
        <v>564</v>
      </c>
      <c r="E39">
        <v>106.3</v>
      </c>
      <c r="F39" t="s">
        <v>289</v>
      </c>
    </row>
    <row r="40" spans="1:6" x14ac:dyDescent="0.2">
      <c r="A40" t="s">
        <v>565</v>
      </c>
      <c r="B40" t="s">
        <v>103</v>
      </c>
      <c r="C40">
        <v>0</v>
      </c>
      <c r="D40" t="s">
        <v>566</v>
      </c>
      <c r="E40">
        <v>0</v>
      </c>
      <c r="F40" t="s">
        <v>567</v>
      </c>
    </row>
    <row r="41" spans="1:6" x14ac:dyDescent="0.2">
      <c r="A41" t="s">
        <v>565</v>
      </c>
      <c r="B41" t="s">
        <v>31</v>
      </c>
      <c r="C41">
        <v>0</v>
      </c>
      <c r="D41" t="s">
        <v>568</v>
      </c>
      <c r="E41">
        <v>85.7</v>
      </c>
      <c r="F41" t="s">
        <v>289</v>
      </c>
    </row>
    <row r="42" spans="1:6" x14ac:dyDescent="0.2">
      <c r="A42" t="s">
        <v>569</v>
      </c>
      <c r="B42" t="s">
        <v>103</v>
      </c>
      <c r="C42">
        <v>0</v>
      </c>
      <c r="D42" t="s">
        <v>570</v>
      </c>
      <c r="E42">
        <v>0</v>
      </c>
      <c r="F42" t="s">
        <v>571</v>
      </c>
    </row>
    <row r="43" spans="1:6" x14ac:dyDescent="0.2">
      <c r="A43" t="s">
        <v>569</v>
      </c>
      <c r="B43" t="s">
        <v>31</v>
      </c>
      <c r="C43">
        <v>0</v>
      </c>
      <c r="D43" t="s">
        <v>572</v>
      </c>
      <c r="E43">
        <v>72.900000000000006</v>
      </c>
      <c r="F43" t="s">
        <v>289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O136"/>
  <sheetViews>
    <sheetView workbookViewId="0"/>
  </sheetViews>
  <sheetFormatPr baseColWidth="10" defaultColWidth="8.83203125" defaultRowHeight="15" x14ac:dyDescent="0.2"/>
  <cols>
    <col min="1" max="1" width="25" customWidth="1"/>
    <col min="2" max="2" width="15" customWidth="1"/>
    <col min="3" max="3" width="10" customWidth="1"/>
    <col min="4" max="4" width="8" customWidth="1"/>
    <col min="5" max="9" width="12" customWidth="1"/>
  </cols>
  <sheetData>
    <row r="1" spans="1:1" ht="19" x14ac:dyDescent="0.25">
      <c r="A1" s="4" t="s">
        <v>573</v>
      </c>
    </row>
    <row r="2" spans="1:1" x14ac:dyDescent="0.2">
      <c r="A2" s="5" t="s">
        <v>574</v>
      </c>
    </row>
    <row r="4" spans="1:1" ht="16" x14ac:dyDescent="0.2">
      <c r="A4" s="1" t="s">
        <v>575</v>
      </c>
    </row>
    <row r="6" spans="1:1" x14ac:dyDescent="0.2">
      <c r="A6" s="2" t="s">
        <v>576</v>
      </c>
    </row>
    <row r="7" spans="1:1" x14ac:dyDescent="0.2">
      <c r="A7" t="s">
        <v>577</v>
      </c>
    </row>
    <row r="8" spans="1:1" x14ac:dyDescent="0.2">
      <c r="A8" t="s">
        <v>578</v>
      </c>
    </row>
    <row r="9" spans="1:1" x14ac:dyDescent="0.2">
      <c r="A9" t="s">
        <v>579</v>
      </c>
    </row>
    <row r="11" spans="1:1" x14ac:dyDescent="0.2">
      <c r="A11" s="2" t="s">
        <v>580</v>
      </c>
    </row>
    <row r="12" spans="1:1" x14ac:dyDescent="0.2">
      <c r="A12" t="s">
        <v>581</v>
      </c>
    </row>
    <row r="13" spans="1:1" x14ac:dyDescent="0.2">
      <c r="A13" t="s">
        <v>582</v>
      </c>
    </row>
    <row r="16" spans="1:1" ht="16" x14ac:dyDescent="0.2">
      <c r="A16" s="1" t="s">
        <v>583</v>
      </c>
    </row>
    <row r="18" spans="1:9" ht="16" x14ac:dyDescent="0.2">
      <c r="A18" s="3" t="s">
        <v>555</v>
      </c>
      <c r="B18" s="3" t="s">
        <v>556</v>
      </c>
      <c r="C18" s="3" t="s">
        <v>375</v>
      </c>
      <c r="D18" s="3" t="s">
        <v>584</v>
      </c>
      <c r="E18" s="3" t="s">
        <v>282</v>
      </c>
      <c r="F18" s="3" t="s">
        <v>557</v>
      </c>
      <c r="G18" s="3" t="s">
        <v>558</v>
      </c>
      <c r="H18" s="3" t="s">
        <v>559</v>
      </c>
      <c r="I18" s="3" t="s">
        <v>560</v>
      </c>
    </row>
    <row r="19" spans="1:9" x14ac:dyDescent="0.2">
      <c r="A19" t="s">
        <v>561</v>
      </c>
      <c r="B19" t="s">
        <v>103</v>
      </c>
      <c r="C19">
        <v>262</v>
      </c>
      <c r="D19">
        <v>43</v>
      </c>
      <c r="E19">
        <v>27.9</v>
      </c>
      <c r="F19">
        <v>0</v>
      </c>
      <c r="G19" t="s">
        <v>562</v>
      </c>
      <c r="H19">
        <v>0</v>
      </c>
      <c r="I19" t="s">
        <v>563</v>
      </c>
    </row>
    <row r="20" spans="1:9" x14ac:dyDescent="0.2">
      <c r="A20" t="s">
        <v>561</v>
      </c>
      <c r="B20" t="s">
        <v>31</v>
      </c>
      <c r="C20">
        <v>262</v>
      </c>
      <c r="D20">
        <v>43</v>
      </c>
      <c r="E20">
        <v>27.9</v>
      </c>
      <c r="F20">
        <v>0</v>
      </c>
      <c r="G20" t="s">
        <v>564</v>
      </c>
      <c r="H20">
        <v>106.3</v>
      </c>
      <c r="I20" t="s">
        <v>289</v>
      </c>
    </row>
    <row r="21" spans="1:9" x14ac:dyDescent="0.2">
      <c r="A21" t="s">
        <v>565</v>
      </c>
      <c r="B21" t="s">
        <v>103</v>
      </c>
      <c r="C21">
        <v>246</v>
      </c>
      <c r="D21">
        <v>30</v>
      </c>
      <c r="E21">
        <v>18.600000000000001</v>
      </c>
      <c r="F21">
        <v>0</v>
      </c>
      <c r="G21" t="s">
        <v>566</v>
      </c>
      <c r="H21">
        <v>0</v>
      </c>
      <c r="I21" t="s">
        <v>567</v>
      </c>
    </row>
    <row r="22" spans="1:9" x14ac:dyDescent="0.2">
      <c r="A22" t="s">
        <v>565</v>
      </c>
      <c r="B22" t="s">
        <v>31</v>
      </c>
      <c r="C22">
        <v>246</v>
      </c>
      <c r="D22">
        <v>30</v>
      </c>
      <c r="E22">
        <v>18.600000000000001</v>
      </c>
      <c r="F22">
        <v>0</v>
      </c>
      <c r="G22" t="s">
        <v>568</v>
      </c>
      <c r="H22">
        <v>85.7</v>
      </c>
      <c r="I22" t="s">
        <v>289</v>
      </c>
    </row>
    <row r="23" spans="1:9" x14ac:dyDescent="0.2">
      <c r="A23" t="s">
        <v>569</v>
      </c>
      <c r="B23" t="s">
        <v>103</v>
      </c>
      <c r="C23">
        <v>238</v>
      </c>
      <c r="D23">
        <v>22</v>
      </c>
      <c r="E23">
        <v>16.2</v>
      </c>
      <c r="F23">
        <v>0</v>
      </c>
      <c r="G23" t="s">
        <v>570</v>
      </c>
      <c r="H23">
        <v>0</v>
      </c>
      <c r="I23" t="s">
        <v>571</v>
      </c>
    </row>
    <row r="24" spans="1:9" x14ac:dyDescent="0.2">
      <c r="A24" t="s">
        <v>569</v>
      </c>
      <c r="B24" t="s">
        <v>31</v>
      </c>
      <c r="C24">
        <v>238</v>
      </c>
      <c r="D24">
        <v>22</v>
      </c>
      <c r="E24">
        <v>16.2</v>
      </c>
      <c r="F24">
        <v>0</v>
      </c>
      <c r="G24" t="s">
        <v>572</v>
      </c>
      <c r="H24">
        <v>72.900000000000006</v>
      </c>
      <c r="I24" t="s">
        <v>289</v>
      </c>
    </row>
    <row r="27" spans="1:9" ht="16" x14ac:dyDescent="0.2">
      <c r="A27" s="1" t="s">
        <v>585</v>
      </c>
    </row>
    <row r="29" spans="1:9" x14ac:dyDescent="0.2">
      <c r="A29" s="2" t="s">
        <v>586</v>
      </c>
    </row>
    <row r="30" spans="1:9" x14ac:dyDescent="0.2">
      <c r="A30" t="s">
        <v>587</v>
      </c>
    </row>
    <row r="31" spans="1:9" x14ac:dyDescent="0.2">
      <c r="A31" t="s">
        <v>588</v>
      </c>
    </row>
    <row r="32" spans="1:9" x14ac:dyDescent="0.2">
      <c r="A32" t="s">
        <v>589</v>
      </c>
    </row>
    <row r="33" spans="1:1" x14ac:dyDescent="0.2">
      <c r="A33" t="s">
        <v>590</v>
      </c>
    </row>
    <row r="34" spans="1:1" x14ac:dyDescent="0.2">
      <c r="A34" t="s">
        <v>591</v>
      </c>
    </row>
    <row r="35" spans="1:1" x14ac:dyDescent="0.2">
      <c r="A35" t="s">
        <v>592</v>
      </c>
    </row>
    <row r="36" spans="1:1" x14ac:dyDescent="0.2">
      <c r="A36" t="s">
        <v>593</v>
      </c>
    </row>
    <row r="37" spans="1:1" x14ac:dyDescent="0.2">
      <c r="A37" t="s">
        <v>594</v>
      </c>
    </row>
    <row r="38" spans="1:1" x14ac:dyDescent="0.2">
      <c r="A38" t="s">
        <v>595</v>
      </c>
    </row>
    <row r="40" spans="1:1" x14ac:dyDescent="0.2">
      <c r="A40" s="2" t="s">
        <v>596</v>
      </c>
    </row>
    <row r="41" spans="1:1" x14ac:dyDescent="0.2">
      <c r="A41" t="s">
        <v>597</v>
      </c>
    </row>
    <row r="42" spans="1:1" x14ac:dyDescent="0.2">
      <c r="A42" t="s">
        <v>598</v>
      </c>
    </row>
    <row r="43" spans="1:1" x14ac:dyDescent="0.2">
      <c r="A43" t="s">
        <v>599</v>
      </c>
    </row>
    <row r="44" spans="1:1" x14ac:dyDescent="0.2">
      <c r="A44" t="s">
        <v>600</v>
      </c>
    </row>
    <row r="45" spans="1:1" x14ac:dyDescent="0.2">
      <c r="A45" t="s">
        <v>601</v>
      </c>
    </row>
    <row r="46" spans="1:1" x14ac:dyDescent="0.2">
      <c r="A46" t="s">
        <v>602</v>
      </c>
    </row>
    <row r="47" spans="1:1" x14ac:dyDescent="0.2">
      <c r="A47" t="s">
        <v>603</v>
      </c>
    </row>
    <row r="50" spans="1:15" ht="16" x14ac:dyDescent="0.2">
      <c r="A50" s="1" t="s">
        <v>604</v>
      </c>
    </row>
    <row r="52" spans="1:15" x14ac:dyDescent="0.2">
      <c r="A52" t="s">
        <v>605</v>
      </c>
    </row>
    <row r="53" spans="1:15" x14ac:dyDescent="0.2">
      <c r="A53" t="s">
        <v>606</v>
      </c>
    </row>
    <row r="54" spans="1:15" x14ac:dyDescent="0.2">
      <c r="A54" t="s">
        <v>607</v>
      </c>
    </row>
    <row r="55" spans="1:15" x14ac:dyDescent="0.2">
      <c r="A55" t="s">
        <v>608</v>
      </c>
    </row>
    <row r="56" spans="1:15" x14ac:dyDescent="0.2">
      <c r="A56" t="s">
        <v>609</v>
      </c>
    </row>
    <row r="59" spans="1:15" ht="16" x14ac:dyDescent="0.2">
      <c r="A59" s="1" t="s">
        <v>610</v>
      </c>
    </row>
    <row r="61" spans="1:15" ht="32" x14ac:dyDescent="0.2">
      <c r="A61" t="s">
        <v>70</v>
      </c>
      <c r="B61" s="3" t="s">
        <v>176</v>
      </c>
      <c r="C61" s="3" t="s">
        <v>164</v>
      </c>
      <c r="D61" s="3" t="s">
        <v>398</v>
      </c>
      <c r="E61" s="3" t="s">
        <v>395</v>
      </c>
      <c r="F61" s="3" t="s">
        <v>182</v>
      </c>
      <c r="G61" s="3" t="s">
        <v>179</v>
      </c>
      <c r="H61" s="3" t="s">
        <v>173</v>
      </c>
      <c r="I61" s="3" t="s">
        <v>185</v>
      </c>
      <c r="J61" s="3" t="s">
        <v>392</v>
      </c>
      <c r="K61" s="3" t="s">
        <v>188</v>
      </c>
      <c r="L61" s="3" t="s">
        <v>170</v>
      </c>
      <c r="M61" s="3" t="s">
        <v>394</v>
      </c>
      <c r="N61" s="3" t="s">
        <v>167</v>
      </c>
      <c r="O61" s="3" t="s">
        <v>161</v>
      </c>
    </row>
    <row r="62" spans="1:15" x14ac:dyDescent="0.2">
      <c r="A62">
        <v>2025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</row>
    <row r="63" spans="1:15" x14ac:dyDescent="0.2">
      <c r="A63">
        <v>2026</v>
      </c>
      <c r="B63">
        <v>0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</row>
    <row r="64" spans="1:15" x14ac:dyDescent="0.2">
      <c r="A64">
        <v>2027</v>
      </c>
      <c r="B64">
        <v>0</v>
      </c>
      <c r="C64">
        <v>5.9075591390821049</v>
      </c>
      <c r="D64">
        <v>0</v>
      </c>
      <c r="E64">
        <v>0</v>
      </c>
      <c r="F64">
        <v>0</v>
      </c>
      <c r="G64">
        <v>0.30336114497989181</v>
      </c>
      <c r="H64">
        <v>0.71848692232079669</v>
      </c>
      <c r="I64">
        <v>0</v>
      </c>
      <c r="J64">
        <v>0</v>
      </c>
      <c r="K64">
        <v>0</v>
      </c>
      <c r="L64">
        <v>3.8888602278004059</v>
      </c>
      <c r="M64">
        <v>0</v>
      </c>
      <c r="N64">
        <v>6.352495571814071</v>
      </c>
      <c r="O64">
        <v>5.1932633904748462</v>
      </c>
    </row>
    <row r="65" spans="1:15" x14ac:dyDescent="0.2">
      <c r="A65">
        <v>2028</v>
      </c>
      <c r="B65">
        <v>0</v>
      </c>
      <c r="C65">
        <v>17.79104934675205</v>
      </c>
      <c r="D65">
        <v>0</v>
      </c>
      <c r="E65">
        <v>0</v>
      </c>
      <c r="F65">
        <v>0</v>
      </c>
      <c r="G65">
        <v>0.91359442591429441</v>
      </c>
      <c r="H65">
        <v>2.1637762719022762</v>
      </c>
      <c r="I65">
        <v>0</v>
      </c>
      <c r="J65">
        <v>0</v>
      </c>
      <c r="K65">
        <v>0</v>
      </c>
      <c r="L65">
        <v>11.711588929800961</v>
      </c>
      <c r="M65">
        <v>0</v>
      </c>
      <c r="N65">
        <v>19.131008176539101</v>
      </c>
      <c r="O65">
        <v>15.63989510310253</v>
      </c>
    </row>
    <row r="66" spans="1:15" x14ac:dyDescent="0.2">
      <c r="A66">
        <v>2029</v>
      </c>
      <c r="B66">
        <v>0</v>
      </c>
      <c r="C66">
        <v>29.95032415986638</v>
      </c>
      <c r="D66">
        <v>0</v>
      </c>
      <c r="E66">
        <v>0</v>
      </c>
      <c r="F66">
        <v>0</v>
      </c>
      <c r="G66">
        <v>1.5379896190201661</v>
      </c>
      <c r="H66">
        <v>3.6426069924161819</v>
      </c>
      <c r="I66">
        <v>0</v>
      </c>
      <c r="J66">
        <v>0</v>
      </c>
      <c r="K66">
        <v>0</v>
      </c>
      <c r="L66">
        <v>19.715862624970871</v>
      </c>
      <c r="M66">
        <v>0</v>
      </c>
      <c r="N66">
        <v>32.206076506499272</v>
      </c>
      <c r="O66">
        <v>26.328965708239291</v>
      </c>
    </row>
    <row r="67" spans="1:15" x14ac:dyDescent="0.2">
      <c r="A67">
        <v>2030</v>
      </c>
      <c r="B67">
        <v>0</v>
      </c>
      <c r="C67">
        <v>183.34852115156849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317.76806504245548</v>
      </c>
      <c r="M67">
        <v>0</v>
      </c>
      <c r="N67">
        <v>37.878202565032652</v>
      </c>
      <c r="O67">
        <v>175.15698730280189</v>
      </c>
    </row>
    <row r="68" spans="1:15" x14ac:dyDescent="0.2">
      <c r="A68">
        <v>2031</v>
      </c>
      <c r="B68">
        <v>0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</row>
    <row r="69" spans="1:15" x14ac:dyDescent="0.2">
      <c r="A69">
        <v>2032</v>
      </c>
      <c r="B69">
        <v>0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</row>
    <row r="70" spans="1:15" x14ac:dyDescent="0.2">
      <c r="A70">
        <v>2033</v>
      </c>
      <c r="B70">
        <v>0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</row>
    <row r="71" spans="1:15" x14ac:dyDescent="0.2">
      <c r="A71">
        <v>2034</v>
      </c>
      <c r="B71">
        <v>0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</row>
    <row r="72" spans="1:15" x14ac:dyDescent="0.2">
      <c r="A72">
        <v>2035</v>
      </c>
      <c r="B72">
        <v>0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</row>
    <row r="73" spans="1:15" x14ac:dyDescent="0.2">
      <c r="A73">
        <v>2036</v>
      </c>
      <c r="B73">
        <v>0</v>
      </c>
      <c r="C73">
        <v>95.407328462227738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165.35394976679211</v>
      </c>
      <c r="M73">
        <v>0</v>
      </c>
      <c r="N73">
        <v>19.710320492268391</v>
      </c>
      <c r="O73">
        <v>91.144777798551203</v>
      </c>
    </row>
    <row r="74" spans="1:15" x14ac:dyDescent="0.2">
      <c r="A74">
        <v>2037</v>
      </c>
      <c r="B74">
        <v>0</v>
      </c>
      <c r="C74">
        <v>146.12438646158071</v>
      </c>
      <c r="D74">
        <v>0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253.2535482139352</v>
      </c>
      <c r="M74">
        <v>0</v>
      </c>
      <c r="N74">
        <v>30.18802156308265</v>
      </c>
      <c r="O74">
        <v>139.59592988984329</v>
      </c>
    </row>
    <row r="75" spans="1:15" x14ac:dyDescent="0.2">
      <c r="A75">
        <v>2038</v>
      </c>
      <c r="B75">
        <v>0</v>
      </c>
      <c r="C75">
        <v>147.47695778106299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255.59773931143809</v>
      </c>
      <c r="M75">
        <v>0</v>
      </c>
      <c r="N75">
        <v>30.467450980354329</v>
      </c>
      <c r="O75">
        <v>140.88807184956411</v>
      </c>
    </row>
    <row r="76" spans="1:15" x14ac:dyDescent="0.2">
      <c r="A76">
        <v>2039</v>
      </c>
      <c r="B76">
        <v>0</v>
      </c>
      <c r="C76">
        <v>148.25810492784009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256.95157415987723</v>
      </c>
      <c r="M76">
        <v>0</v>
      </c>
      <c r="N76">
        <v>30.628829156043331</v>
      </c>
      <c r="O76">
        <v>141.63431937864311</v>
      </c>
    </row>
    <row r="77" spans="1:15" x14ac:dyDescent="0.2">
      <c r="A77">
        <v>2040</v>
      </c>
      <c r="B77">
        <v>0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</row>
    <row r="78" spans="1:15" x14ac:dyDescent="0.2">
      <c r="A78">
        <v>2041</v>
      </c>
      <c r="B78">
        <v>0</v>
      </c>
      <c r="C78">
        <v>236.86879268581509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410.526015961106</v>
      </c>
      <c r="M78">
        <v>0</v>
      </c>
      <c r="N78">
        <v>48.935023060649719</v>
      </c>
      <c r="O78">
        <v>226.2861126575518</v>
      </c>
    </row>
    <row r="79" spans="1:15" x14ac:dyDescent="0.2">
      <c r="A79">
        <v>2042</v>
      </c>
      <c r="B79">
        <v>0</v>
      </c>
      <c r="C79">
        <v>332.01355663740981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575.42490551814785</v>
      </c>
      <c r="M79">
        <v>0</v>
      </c>
      <c r="N79">
        <v>68.591100019031501</v>
      </c>
      <c r="O79">
        <v>317.18005664317508</v>
      </c>
    </row>
    <row r="80" spans="1:15" x14ac:dyDescent="0.2">
      <c r="A80">
        <v>2043</v>
      </c>
      <c r="B80">
        <v>0</v>
      </c>
      <c r="C80">
        <v>323.98097058972883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561.50333522335086</v>
      </c>
      <c r="M80">
        <v>0</v>
      </c>
      <c r="N80">
        <v>66.931637921796508</v>
      </c>
      <c r="O80">
        <v>309.50634559535467</v>
      </c>
    </row>
    <row r="81" spans="1:15" x14ac:dyDescent="0.2">
      <c r="A81">
        <v>2044</v>
      </c>
      <c r="B81">
        <v>0</v>
      </c>
      <c r="C81">
        <v>316.13251022439329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547.90087992024314</v>
      </c>
      <c r="M81">
        <v>0</v>
      </c>
      <c r="N81">
        <v>65.310214581839219</v>
      </c>
      <c r="O81">
        <v>302.00853397449532</v>
      </c>
    </row>
    <row r="82" spans="1:15" x14ac:dyDescent="0.2">
      <c r="A82">
        <v>2045</v>
      </c>
      <c r="B82">
        <v>0</v>
      </c>
      <c r="C82">
        <v>307.9157984943717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533.66019463376563</v>
      </c>
      <c r="M82">
        <v>0</v>
      </c>
      <c r="N82">
        <v>63.61271372732751</v>
      </c>
      <c r="O82">
        <v>294.15892349971858</v>
      </c>
    </row>
    <row r="83" spans="1:15" x14ac:dyDescent="0.2">
      <c r="A83">
        <v>2046</v>
      </c>
      <c r="B83">
        <v>0</v>
      </c>
      <c r="C83">
        <v>299.88321244669243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519.73862433897148</v>
      </c>
      <c r="M83">
        <v>0</v>
      </c>
      <c r="N83">
        <v>61.953251630092929</v>
      </c>
      <c r="O83">
        <v>286.48521245189983</v>
      </c>
    </row>
    <row r="84" spans="1:15" x14ac:dyDescent="0.2">
      <c r="A84">
        <v>2047</v>
      </c>
      <c r="B84">
        <v>0</v>
      </c>
      <c r="C84">
        <v>291.85062639901241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505.8170540441763</v>
      </c>
      <c r="M84">
        <v>0</v>
      </c>
      <c r="N84">
        <v>60.293789532858113</v>
      </c>
      <c r="O84">
        <v>278.81150140408027</v>
      </c>
    </row>
    <row r="85" spans="1:15" x14ac:dyDescent="0.2">
      <c r="A85">
        <v>2048</v>
      </c>
      <c r="B85">
        <v>0</v>
      </c>
      <c r="C85">
        <v>283.81804035133308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491.89548374938249</v>
      </c>
      <c r="M85">
        <v>0</v>
      </c>
      <c r="N85">
        <v>58.634327435623469</v>
      </c>
      <c r="O85">
        <v>271.13779035626158</v>
      </c>
    </row>
    <row r="86" spans="1:15" x14ac:dyDescent="0.2">
      <c r="A86">
        <v>2049</v>
      </c>
      <c r="B86">
        <v>0</v>
      </c>
      <c r="C86">
        <v>275.7854543036546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477.97391345459022</v>
      </c>
      <c r="M86">
        <v>0</v>
      </c>
      <c r="N86">
        <v>56.97486533838903</v>
      </c>
      <c r="O86">
        <v>263.46407930844367</v>
      </c>
    </row>
    <row r="87" spans="1:15" x14ac:dyDescent="0.2">
      <c r="A87">
        <v>2050</v>
      </c>
      <c r="B87">
        <v>0</v>
      </c>
      <c r="C87">
        <v>267.75286825597459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464.05234315979448</v>
      </c>
      <c r="M87">
        <v>0</v>
      </c>
      <c r="N87">
        <v>55.315403241154222</v>
      </c>
      <c r="O87">
        <v>255.79036826062409</v>
      </c>
    </row>
    <row r="108" spans="1:15" ht="16" x14ac:dyDescent="0.2">
      <c r="A108" s="1" t="s">
        <v>611</v>
      </c>
    </row>
    <row r="110" spans="1:15" ht="32" x14ac:dyDescent="0.2">
      <c r="A110" t="s">
        <v>70</v>
      </c>
      <c r="B110" s="3" t="s">
        <v>176</v>
      </c>
      <c r="C110" s="3" t="s">
        <v>164</v>
      </c>
      <c r="D110" s="3" t="s">
        <v>398</v>
      </c>
      <c r="E110" s="3" t="s">
        <v>395</v>
      </c>
      <c r="F110" s="3" t="s">
        <v>182</v>
      </c>
      <c r="G110" s="3" t="s">
        <v>179</v>
      </c>
      <c r="H110" s="3" t="s">
        <v>173</v>
      </c>
      <c r="I110" s="3" t="s">
        <v>185</v>
      </c>
      <c r="J110" s="3" t="s">
        <v>392</v>
      </c>
      <c r="K110" s="3" t="s">
        <v>188</v>
      </c>
      <c r="L110" s="3" t="s">
        <v>170</v>
      </c>
      <c r="M110" s="3" t="s">
        <v>394</v>
      </c>
      <c r="N110" s="3" t="s">
        <v>167</v>
      </c>
      <c r="O110" s="3" t="s">
        <v>161</v>
      </c>
    </row>
    <row r="111" spans="1:15" x14ac:dyDescent="0.2">
      <c r="A111">
        <v>2025</v>
      </c>
      <c r="B111">
        <v>4.4091386510604997E-3</v>
      </c>
      <c r="C111">
        <v>6.4066162178912673</v>
      </c>
      <c r="D111">
        <v>0</v>
      </c>
      <c r="E111">
        <v>4.3259473557570003E-4</v>
      </c>
      <c r="F111">
        <v>3.0901752534817999E-3</v>
      </c>
      <c r="G111">
        <v>2.33700201820057E-2</v>
      </c>
      <c r="H111">
        <v>5.7877719991901798E-2</v>
      </c>
      <c r="I111">
        <v>1.730378942303E-3</v>
      </c>
      <c r="J111">
        <v>1.1767754615121999E-3</v>
      </c>
      <c r="K111">
        <v>1.4974433154545E-3</v>
      </c>
      <c r="L111">
        <v>9.2323742633138401</v>
      </c>
      <c r="M111">
        <v>8.3191295303019998E-4</v>
      </c>
      <c r="N111">
        <v>3.1105940159301868</v>
      </c>
      <c r="O111">
        <v>5.2742014642545714</v>
      </c>
    </row>
    <row r="112" spans="1:15" x14ac:dyDescent="0.2">
      <c r="A112">
        <v>2026</v>
      </c>
      <c r="B112">
        <v>4.4091386510604997E-3</v>
      </c>
      <c r="C112">
        <v>6.4066162178912673</v>
      </c>
      <c r="D112">
        <v>0</v>
      </c>
      <c r="E112">
        <v>4.3259473557570003E-4</v>
      </c>
      <c r="F112">
        <v>3.0901752534817999E-3</v>
      </c>
      <c r="G112">
        <v>2.33700201820057E-2</v>
      </c>
      <c r="H112">
        <v>5.7877719991901798E-2</v>
      </c>
      <c r="I112">
        <v>1.730378942303E-3</v>
      </c>
      <c r="J112">
        <v>1.1767754615121999E-3</v>
      </c>
      <c r="K112">
        <v>1.4974433154545E-3</v>
      </c>
      <c r="L112">
        <v>9.2323742633138401</v>
      </c>
      <c r="M112">
        <v>8.3191295303019998E-4</v>
      </c>
      <c r="N112">
        <v>3.1105940159301868</v>
      </c>
      <c r="O112">
        <v>5.2742014642545714</v>
      </c>
    </row>
    <row r="113" spans="1:15" x14ac:dyDescent="0.2">
      <c r="A113">
        <v>2027</v>
      </c>
      <c r="B113">
        <v>4.4091386510604997E-3</v>
      </c>
      <c r="C113">
        <v>6.4431456726741549</v>
      </c>
      <c r="D113">
        <v>0</v>
      </c>
      <c r="E113">
        <v>4.3259473557570003E-4</v>
      </c>
      <c r="F113">
        <v>3.0901752534817999E-3</v>
      </c>
      <c r="G113">
        <v>2.5245857049235002E-2</v>
      </c>
      <c r="H113">
        <v>6.2320491519550297E-2</v>
      </c>
      <c r="I113">
        <v>1.730378942303E-3</v>
      </c>
      <c r="J113">
        <v>1.1767754615121999E-3</v>
      </c>
      <c r="K113">
        <v>1.4974433154545E-3</v>
      </c>
      <c r="L113">
        <v>9.2564210719033007</v>
      </c>
      <c r="M113">
        <v>8.3191295303019998E-4</v>
      </c>
      <c r="N113">
        <v>3.1498747398782401</v>
      </c>
      <c r="O113">
        <v>5.3063140636770552</v>
      </c>
    </row>
    <row r="114" spans="1:15" x14ac:dyDescent="0.2">
      <c r="A114">
        <v>2028</v>
      </c>
      <c r="B114">
        <v>4.4091386510604997E-3</v>
      </c>
      <c r="C114">
        <v>6.5567835565510739</v>
      </c>
      <c r="D114">
        <v>0</v>
      </c>
      <c r="E114">
        <v>4.3259473557570003E-4</v>
      </c>
      <c r="F114">
        <v>3.0901752534817999E-3</v>
      </c>
      <c r="G114">
        <v>3.10813159510228E-2</v>
      </c>
      <c r="H114">
        <v>7.6141315234310794E-2</v>
      </c>
      <c r="I114">
        <v>1.730378942303E-3</v>
      </c>
      <c r="J114">
        <v>1.1767754615121999E-3</v>
      </c>
      <c r="K114">
        <v>1.4974433154545E-3</v>
      </c>
      <c r="L114">
        <v>9.3312272374576608</v>
      </c>
      <c r="M114">
        <v>8.3191295303019998E-4</v>
      </c>
      <c r="N114">
        <v>3.2720714267201449</v>
      </c>
      <c r="O114">
        <v>5.4062117453108831</v>
      </c>
    </row>
    <row r="115" spans="1:15" x14ac:dyDescent="0.2">
      <c r="A115">
        <v>2029</v>
      </c>
      <c r="B115">
        <v>4.4091386510604997E-3</v>
      </c>
      <c r="C115">
        <v>6.754608851072919</v>
      </c>
      <c r="D115">
        <v>0</v>
      </c>
      <c r="E115">
        <v>4.3259473557570003E-4</v>
      </c>
      <c r="F115">
        <v>3.0901752534817999E-3</v>
      </c>
      <c r="G115">
        <v>4.1239912156198599E-2</v>
      </c>
      <c r="H115">
        <v>0.1002011483518324</v>
      </c>
      <c r="I115">
        <v>1.730378942303E-3</v>
      </c>
      <c r="J115">
        <v>1.1767754615121999E-3</v>
      </c>
      <c r="K115">
        <v>1.4974433154545E-3</v>
      </c>
      <c r="L115">
        <v>9.4614527505345283</v>
      </c>
      <c r="M115">
        <v>8.3191295303019998E-4</v>
      </c>
      <c r="N115">
        <v>3.484796221826993</v>
      </c>
      <c r="O115">
        <v>5.580117555741726</v>
      </c>
    </row>
    <row r="116" spans="1:15" x14ac:dyDescent="0.2">
      <c r="A116">
        <v>2030</v>
      </c>
      <c r="B116">
        <v>4.4091386510604997E-3</v>
      </c>
      <c r="C116">
        <v>7.707302147252638</v>
      </c>
      <c r="D116">
        <v>0</v>
      </c>
      <c r="E116">
        <v>4.3259473557570003E-4</v>
      </c>
      <c r="F116">
        <v>3.0901752534817999E-3</v>
      </c>
      <c r="G116">
        <v>4.1239912156198599E-2</v>
      </c>
      <c r="H116">
        <v>0.1002011483518324</v>
      </c>
      <c r="I116">
        <v>1.730378942303E-3</v>
      </c>
      <c r="J116">
        <v>1.1767754615121999E-3</v>
      </c>
      <c r="K116">
        <v>1.4974433154545E-3</v>
      </c>
      <c r="L116">
        <v>11.112600539480621</v>
      </c>
      <c r="M116">
        <v>8.3191295303019998E-4</v>
      </c>
      <c r="N116">
        <v>3.681614333194319</v>
      </c>
      <c r="O116">
        <v>6.4902469995700098</v>
      </c>
    </row>
    <row r="117" spans="1:15" x14ac:dyDescent="0.2">
      <c r="A117">
        <v>2031</v>
      </c>
      <c r="B117">
        <v>4.4091386510604997E-3</v>
      </c>
      <c r="C117">
        <v>7.707302147252638</v>
      </c>
      <c r="D117">
        <v>0</v>
      </c>
      <c r="E117">
        <v>4.3259473557570003E-4</v>
      </c>
      <c r="F117">
        <v>3.0901752534817999E-3</v>
      </c>
      <c r="G117">
        <v>4.1239912156198599E-2</v>
      </c>
      <c r="H117">
        <v>0.1002011483518324</v>
      </c>
      <c r="I117">
        <v>1.730378942303E-3</v>
      </c>
      <c r="J117">
        <v>1.1767754615121999E-3</v>
      </c>
      <c r="K117">
        <v>1.4974433154545E-3</v>
      </c>
      <c r="L117">
        <v>11.112600539480621</v>
      </c>
      <c r="M117">
        <v>8.3191295303019998E-4</v>
      </c>
      <c r="N117">
        <v>3.681614333194319</v>
      </c>
      <c r="O117">
        <v>6.4902469995700098</v>
      </c>
    </row>
    <row r="118" spans="1:15" x14ac:dyDescent="0.2">
      <c r="A118">
        <v>2032</v>
      </c>
      <c r="B118">
        <v>4.4091386510604997E-3</v>
      </c>
      <c r="C118">
        <v>7.707302147252638</v>
      </c>
      <c r="D118">
        <v>0</v>
      </c>
      <c r="E118">
        <v>4.3259473557570003E-4</v>
      </c>
      <c r="F118">
        <v>3.0901752534817999E-3</v>
      </c>
      <c r="G118">
        <v>4.1239912156198599E-2</v>
      </c>
      <c r="H118">
        <v>0.1002011483518324</v>
      </c>
      <c r="I118">
        <v>1.730378942303E-3</v>
      </c>
      <c r="J118">
        <v>1.1767754615121999E-3</v>
      </c>
      <c r="K118">
        <v>1.4974433154545E-3</v>
      </c>
      <c r="L118">
        <v>11.112600539480621</v>
      </c>
      <c r="M118">
        <v>8.3191295303019998E-4</v>
      </c>
      <c r="N118">
        <v>3.681614333194319</v>
      </c>
      <c r="O118">
        <v>6.4902469995700098</v>
      </c>
    </row>
    <row r="119" spans="1:15" x14ac:dyDescent="0.2">
      <c r="A119">
        <v>2033</v>
      </c>
      <c r="B119">
        <v>4.4091386510604997E-3</v>
      </c>
      <c r="C119">
        <v>7.707302147252638</v>
      </c>
      <c r="D119">
        <v>0</v>
      </c>
      <c r="E119">
        <v>4.3259473557570003E-4</v>
      </c>
      <c r="F119">
        <v>3.0901752534817999E-3</v>
      </c>
      <c r="G119">
        <v>4.1239912156198599E-2</v>
      </c>
      <c r="H119">
        <v>0.1002011483518324</v>
      </c>
      <c r="I119">
        <v>1.730378942303E-3</v>
      </c>
      <c r="J119">
        <v>1.1767754615121999E-3</v>
      </c>
      <c r="K119">
        <v>1.4974433154545E-3</v>
      </c>
      <c r="L119">
        <v>11.112600539480621</v>
      </c>
      <c r="M119">
        <v>8.3191295303019998E-4</v>
      </c>
      <c r="N119">
        <v>3.681614333194319</v>
      </c>
      <c r="O119">
        <v>6.4902469995700098</v>
      </c>
    </row>
    <row r="120" spans="1:15" x14ac:dyDescent="0.2">
      <c r="A120">
        <v>2034</v>
      </c>
      <c r="B120">
        <v>4.4091386510604997E-3</v>
      </c>
      <c r="C120">
        <v>7.707302147252638</v>
      </c>
      <c r="D120">
        <v>0</v>
      </c>
      <c r="E120">
        <v>4.3259473557570003E-4</v>
      </c>
      <c r="F120">
        <v>3.0901752534817999E-3</v>
      </c>
      <c r="G120">
        <v>4.1239912156198599E-2</v>
      </c>
      <c r="H120">
        <v>0.1002011483518324</v>
      </c>
      <c r="I120">
        <v>1.730378942303E-3</v>
      </c>
      <c r="J120">
        <v>1.1767754615121999E-3</v>
      </c>
      <c r="K120">
        <v>1.4974433154545E-3</v>
      </c>
      <c r="L120">
        <v>11.112600539480621</v>
      </c>
      <c r="M120">
        <v>8.3191295303019998E-4</v>
      </c>
      <c r="N120">
        <v>3.681614333194319</v>
      </c>
      <c r="O120">
        <v>6.4902469995700098</v>
      </c>
    </row>
    <row r="121" spans="1:15" x14ac:dyDescent="0.2">
      <c r="A121">
        <v>2035</v>
      </c>
      <c r="B121">
        <v>4.4091386510604997E-3</v>
      </c>
      <c r="C121">
        <v>7.707302147252638</v>
      </c>
      <c r="D121">
        <v>0</v>
      </c>
      <c r="E121">
        <v>4.3259473557570003E-4</v>
      </c>
      <c r="F121">
        <v>3.0901752534817999E-3</v>
      </c>
      <c r="G121">
        <v>4.1239912156198599E-2</v>
      </c>
      <c r="H121">
        <v>0.1002011483518324</v>
      </c>
      <c r="I121">
        <v>1.730378942303E-3</v>
      </c>
      <c r="J121">
        <v>1.1767754615121999E-3</v>
      </c>
      <c r="K121">
        <v>1.4974433154545E-3</v>
      </c>
      <c r="L121">
        <v>11.112600539480621</v>
      </c>
      <c r="M121">
        <v>8.3191295303019998E-4</v>
      </c>
      <c r="N121">
        <v>3.681614333194319</v>
      </c>
      <c r="O121">
        <v>6.4902469995700098</v>
      </c>
    </row>
    <row r="122" spans="1:15" x14ac:dyDescent="0.2">
      <c r="A122">
        <v>2036</v>
      </c>
      <c r="B122">
        <v>4.4091386510604997E-3</v>
      </c>
      <c r="C122">
        <v>8.2845382669441978</v>
      </c>
      <c r="D122">
        <v>0</v>
      </c>
      <c r="E122">
        <v>4.3259473557570003E-4</v>
      </c>
      <c r="F122">
        <v>3.0901752534817999E-3</v>
      </c>
      <c r="G122">
        <v>4.1239912156198599E-2</v>
      </c>
      <c r="H122">
        <v>0.1002011483518324</v>
      </c>
      <c r="I122">
        <v>1.730378942303E-3</v>
      </c>
      <c r="J122">
        <v>1.1767754615121999E-3</v>
      </c>
      <c r="K122">
        <v>1.4974433154545E-3</v>
      </c>
      <c r="L122">
        <v>12.113029687613039</v>
      </c>
      <c r="M122">
        <v>8.3191295303019998E-4</v>
      </c>
      <c r="N122">
        <v>3.8008662722457149</v>
      </c>
      <c r="O122">
        <v>7.0416937145612444</v>
      </c>
    </row>
    <row r="123" spans="1:15" x14ac:dyDescent="0.2">
      <c r="A123">
        <v>2037</v>
      </c>
      <c r="B123">
        <v>4.4091386510604997E-3</v>
      </c>
      <c r="C123">
        <v>9.1935279949329036</v>
      </c>
      <c r="D123">
        <v>0</v>
      </c>
      <c r="E123">
        <v>4.3259473557570003E-4</v>
      </c>
      <c r="F123">
        <v>3.0901752534817999E-3</v>
      </c>
      <c r="G123">
        <v>4.1239912156198599E-2</v>
      </c>
      <c r="H123">
        <v>0.1002011483518324</v>
      </c>
      <c r="I123">
        <v>1.730378942303E-3</v>
      </c>
      <c r="J123">
        <v>1.1767754615121999E-3</v>
      </c>
      <c r="K123">
        <v>1.4974433154545E-3</v>
      </c>
      <c r="L123">
        <v>13.68843321523493</v>
      </c>
      <c r="M123">
        <v>8.3191295303019998E-4</v>
      </c>
      <c r="N123">
        <v>3.9886556082601969</v>
      </c>
      <c r="O123">
        <v>7.9100721516694241</v>
      </c>
    </row>
    <row r="124" spans="1:15" x14ac:dyDescent="0.2">
      <c r="A124">
        <v>2038</v>
      </c>
      <c r="B124">
        <v>4.4091386510604997E-3</v>
      </c>
      <c r="C124">
        <v>10.137523014545989</v>
      </c>
      <c r="D124">
        <v>0</v>
      </c>
      <c r="E124">
        <v>4.3259473557570003E-4</v>
      </c>
      <c r="F124">
        <v>3.0901752534817999E-3</v>
      </c>
      <c r="G124">
        <v>4.1239912156198599E-2</v>
      </c>
      <c r="H124">
        <v>0.1002011483518324</v>
      </c>
      <c r="I124">
        <v>1.730378942303E-3</v>
      </c>
      <c r="J124">
        <v>1.1767754615121999E-3</v>
      </c>
      <c r="K124">
        <v>1.4974433154545E-3</v>
      </c>
      <c r="L124">
        <v>15.32450570116564</v>
      </c>
      <c r="M124">
        <v>8.3191295303019998E-4</v>
      </c>
      <c r="N124">
        <v>4.1836767316851704</v>
      </c>
      <c r="O124">
        <v>8.8118919352475515</v>
      </c>
    </row>
    <row r="125" spans="1:15" x14ac:dyDescent="0.2">
      <c r="A125">
        <v>2039</v>
      </c>
      <c r="B125">
        <v>4.4091386510604997E-3</v>
      </c>
      <c r="C125">
        <v>11.114846343050409</v>
      </c>
      <c r="D125">
        <v>0</v>
      </c>
      <c r="E125">
        <v>4.3259473557570003E-4</v>
      </c>
      <c r="F125">
        <v>3.0901752534817999E-3</v>
      </c>
      <c r="G125">
        <v>4.1239912156198599E-2</v>
      </c>
      <c r="H125">
        <v>0.1002011483518324</v>
      </c>
      <c r="I125">
        <v>1.730378942303E-3</v>
      </c>
      <c r="J125">
        <v>1.1767754615121999E-3</v>
      </c>
      <c r="K125">
        <v>1.4974433154545E-3</v>
      </c>
      <c r="L125">
        <v>17.018340704955872</v>
      </c>
      <c r="M125">
        <v>8.3191295303019998E-4</v>
      </c>
      <c r="N125">
        <v>4.3855831925396842</v>
      </c>
      <c r="O125">
        <v>9.7455510057784078</v>
      </c>
    </row>
    <row r="126" spans="1:15" x14ac:dyDescent="0.2">
      <c r="A126">
        <v>2040</v>
      </c>
      <c r="B126">
        <v>4.4091386510604997E-3</v>
      </c>
      <c r="C126">
        <v>11.114846343050409</v>
      </c>
      <c r="D126">
        <v>0</v>
      </c>
      <c r="E126">
        <v>4.3259473557570003E-4</v>
      </c>
      <c r="F126">
        <v>3.0901752534817999E-3</v>
      </c>
      <c r="G126">
        <v>4.1239912156198599E-2</v>
      </c>
      <c r="H126">
        <v>0.1002011483518324</v>
      </c>
      <c r="I126">
        <v>1.730378942303E-3</v>
      </c>
      <c r="J126">
        <v>1.1767754615121999E-3</v>
      </c>
      <c r="K126">
        <v>1.4974433154545E-3</v>
      </c>
      <c r="L126">
        <v>17.018340704955872</v>
      </c>
      <c r="M126">
        <v>8.3191295303019998E-4</v>
      </c>
      <c r="N126">
        <v>4.3855831925396842</v>
      </c>
      <c r="O126">
        <v>9.7455510057784078</v>
      </c>
    </row>
    <row r="127" spans="1:15" x14ac:dyDescent="0.2">
      <c r="A127">
        <v>2041</v>
      </c>
      <c r="B127">
        <v>4.4091386510604997E-3</v>
      </c>
      <c r="C127">
        <v>12.7623589430961</v>
      </c>
      <c r="D127">
        <v>0</v>
      </c>
      <c r="E127">
        <v>4.3259473557570003E-4</v>
      </c>
      <c r="F127">
        <v>3.0901752534817999E-3</v>
      </c>
      <c r="G127">
        <v>4.1239912156198599E-2</v>
      </c>
      <c r="H127">
        <v>0.1002011483518324</v>
      </c>
      <c r="I127">
        <v>1.730378942303E-3</v>
      </c>
      <c r="J127">
        <v>1.1767754615121999E-3</v>
      </c>
      <c r="K127">
        <v>1.4974433154545E-3</v>
      </c>
      <c r="L127">
        <v>19.873705382900571</v>
      </c>
      <c r="M127">
        <v>8.3191295303019998E-4</v>
      </c>
      <c r="N127">
        <v>4.7259449014917099</v>
      </c>
      <c r="O127">
        <v>11.31945703869839</v>
      </c>
    </row>
    <row r="128" spans="1:15" x14ac:dyDescent="0.2">
      <c r="A128">
        <v>2042</v>
      </c>
      <c r="B128">
        <v>4.4091386510604997E-3</v>
      </c>
      <c r="C128">
        <v>15.12750927935722</v>
      </c>
      <c r="D128">
        <v>0</v>
      </c>
      <c r="E128">
        <v>4.3259473557570003E-4</v>
      </c>
      <c r="F128">
        <v>3.0901752534817999E-3</v>
      </c>
      <c r="G128">
        <v>4.1239912156198599E-2</v>
      </c>
      <c r="H128">
        <v>0.1002011483518324</v>
      </c>
      <c r="I128">
        <v>1.730378942303E-3</v>
      </c>
      <c r="J128">
        <v>1.1767754615121999E-3</v>
      </c>
      <c r="K128">
        <v>1.4974433154545E-3</v>
      </c>
      <c r="L128">
        <v>23.972834414145439</v>
      </c>
      <c r="M128">
        <v>8.3191295303019998E-4</v>
      </c>
      <c r="N128">
        <v>5.2145642967885744</v>
      </c>
      <c r="O128">
        <v>13.57893862500058</v>
      </c>
    </row>
    <row r="129" spans="1:15" x14ac:dyDescent="0.2">
      <c r="A129">
        <v>2043</v>
      </c>
      <c r="B129">
        <v>4.4091386510604997E-3</v>
      </c>
      <c r="C129">
        <v>17.492659615618329</v>
      </c>
      <c r="D129">
        <v>0</v>
      </c>
      <c r="E129">
        <v>4.3259473557570003E-4</v>
      </c>
      <c r="F129">
        <v>3.0901752534817999E-3</v>
      </c>
      <c r="G129">
        <v>4.1239912156198599E-2</v>
      </c>
      <c r="H129">
        <v>0.1002011483518324</v>
      </c>
      <c r="I129">
        <v>1.730378942303E-3</v>
      </c>
      <c r="J129">
        <v>1.1767754615121999E-3</v>
      </c>
      <c r="K129">
        <v>1.4974433154545E-3</v>
      </c>
      <c r="L129">
        <v>28.071963445390288</v>
      </c>
      <c r="M129">
        <v>8.3191295303019998E-4</v>
      </c>
      <c r="N129">
        <v>5.7031836920854353</v>
      </c>
      <c r="O129">
        <v>15.838420211302751</v>
      </c>
    </row>
    <row r="130" spans="1:15" x14ac:dyDescent="0.2">
      <c r="A130">
        <v>2044</v>
      </c>
      <c r="B130">
        <v>4.4091386510604997E-3</v>
      </c>
      <c r="C130">
        <v>19.85918829385178</v>
      </c>
      <c r="D130">
        <v>0</v>
      </c>
      <c r="E130">
        <v>4.3259473557570003E-4</v>
      </c>
      <c r="F130">
        <v>3.0901752534817999E-3</v>
      </c>
      <c r="G130">
        <v>4.1239912156198599E-2</v>
      </c>
      <c r="H130">
        <v>0.1002011483518324</v>
      </c>
      <c r="I130">
        <v>1.730378942303E-3</v>
      </c>
      <c r="J130">
        <v>1.1767754615121999E-3</v>
      </c>
      <c r="K130">
        <v>1.4974433154545E-3</v>
      </c>
      <c r="L130">
        <v>32.173481331798889</v>
      </c>
      <c r="M130">
        <v>8.3191295303019998E-4</v>
      </c>
      <c r="N130">
        <v>6.1920878407912943</v>
      </c>
      <c r="O130">
        <v>18.099218558851941</v>
      </c>
    </row>
    <row r="131" spans="1:15" x14ac:dyDescent="0.2">
      <c r="A131">
        <v>2045</v>
      </c>
      <c r="B131">
        <v>4.4091386510604997E-3</v>
      </c>
      <c r="C131">
        <v>22.2243386301129</v>
      </c>
      <c r="D131">
        <v>0</v>
      </c>
      <c r="E131">
        <v>4.3259473557570003E-4</v>
      </c>
      <c r="F131">
        <v>3.0901752534817999E-3</v>
      </c>
      <c r="G131">
        <v>4.1239912156198599E-2</v>
      </c>
      <c r="H131">
        <v>0.1002011483518324</v>
      </c>
      <c r="I131">
        <v>1.730378942303E-3</v>
      </c>
      <c r="J131">
        <v>1.1767754615121999E-3</v>
      </c>
      <c r="K131">
        <v>1.4974433154545E-3</v>
      </c>
      <c r="L131">
        <v>36.272610363043754</v>
      </c>
      <c r="M131">
        <v>8.3191295303019998E-4</v>
      </c>
      <c r="N131">
        <v>6.680707236088157</v>
      </c>
      <c r="O131">
        <v>20.358700145154131</v>
      </c>
    </row>
    <row r="132" spans="1:15" x14ac:dyDescent="0.2">
      <c r="A132">
        <v>2046</v>
      </c>
      <c r="B132">
        <v>4.4091386510604997E-3</v>
      </c>
      <c r="C132">
        <v>24.589488966374009</v>
      </c>
      <c r="D132">
        <v>0</v>
      </c>
      <c r="E132">
        <v>4.3259473557570003E-4</v>
      </c>
      <c r="F132">
        <v>3.0901752534817999E-3</v>
      </c>
      <c r="G132">
        <v>4.1239912156198599E-2</v>
      </c>
      <c r="H132">
        <v>0.1002011483518324</v>
      </c>
      <c r="I132">
        <v>1.730378942303E-3</v>
      </c>
      <c r="J132">
        <v>1.1767754615121999E-3</v>
      </c>
      <c r="K132">
        <v>1.4974433154545E-3</v>
      </c>
      <c r="L132">
        <v>40.371739394288618</v>
      </c>
      <c r="M132">
        <v>8.3191295303019998E-4</v>
      </c>
      <c r="N132">
        <v>7.1693266313850206</v>
      </c>
      <c r="O132">
        <v>22.618181731456311</v>
      </c>
    </row>
    <row r="133" spans="1:15" x14ac:dyDescent="0.2">
      <c r="A133">
        <v>2047</v>
      </c>
      <c r="B133">
        <v>4.4091386510604997E-3</v>
      </c>
      <c r="C133">
        <v>26.954639302635119</v>
      </c>
      <c r="D133">
        <v>0</v>
      </c>
      <c r="E133">
        <v>4.3259473557570003E-4</v>
      </c>
      <c r="F133">
        <v>3.0901752534817999E-3</v>
      </c>
      <c r="G133">
        <v>4.1239912156198599E-2</v>
      </c>
      <c r="H133">
        <v>0.1002011483518324</v>
      </c>
      <c r="I133">
        <v>1.730378942303E-3</v>
      </c>
      <c r="J133">
        <v>1.1767754615121999E-3</v>
      </c>
      <c r="K133">
        <v>1.4974433154545E-3</v>
      </c>
      <c r="L133">
        <v>44.470868425533467</v>
      </c>
      <c r="M133">
        <v>8.3191295303019998E-4</v>
      </c>
      <c r="N133">
        <v>7.6579460266818833</v>
      </c>
      <c r="O133">
        <v>24.87766331775849</v>
      </c>
    </row>
    <row r="134" spans="1:15" x14ac:dyDescent="0.2">
      <c r="A134">
        <v>2048</v>
      </c>
      <c r="B134">
        <v>4.4091386510604997E-3</v>
      </c>
      <c r="C134">
        <v>29.319789638896228</v>
      </c>
      <c r="D134">
        <v>0</v>
      </c>
      <c r="E134">
        <v>4.3259473557570003E-4</v>
      </c>
      <c r="F134">
        <v>3.0901752534817999E-3</v>
      </c>
      <c r="G134">
        <v>4.1239912156198599E-2</v>
      </c>
      <c r="H134">
        <v>0.1002011483518324</v>
      </c>
      <c r="I134">
        <v>1.730378942303E-3</v>
      </c>
      <c r="J134">
        <v>1.1767754615121999E-3</v>
      </c>
      <c r="K134">
        <v>1.4974433154545E-3</v>
      </c>
      <c r="L134">
        <v>48.569997456778317</v>
      </c>
      <c r="M134">
        <v>8.3191295303019998E-4</v>
      </c>
      <c r="N134">
        <v>8.146565421978746</v>
      </c>
      <c r="O134">
        <v>27.137144904060669</v>
      </c>
    </row>
    <row r="135" spans="1:15" x14ac:dyDescent="0.2">
      <c r="A135">
        <v>2049</v>
      </c>
      <c r="B135">
        <v>4.4091386510604997E-3</v>
      </c>
      <c r="C135">
        <v>31.684939975157349</v>
      </c>
      <c r="D135">
        <v>0</v>
      </c>
      <c r="E135">
        <v>4.3259473557570003E-4</v>
      </c>
      <c r="F135">
        <v>3.0901752534817999E-3</v>
      </c>
      <c r="G135">
        <v>4.1239912156198599E-2</v>
      </c>
      <c r="H135">
        <v>0.1002011483518324</v>
      </c>
      <c r="I135">
        <v>1.730378942303E-3</v>
      </c>
      <c r="J135">
        <v>1.1767754615121999E-3</v>
      </c>
      <c r="K135">
        <v>1.4974433154545E-3</v>
      </c>
      <c r="L135">
        <v>52.669126488023188</v>
      </c>
      <c r="M135">
        <v>8.3191295303019998E-4</v>
      </c>
      <c r="N135">
        <v>8.6351848172756096</v>
      </c>
      <c r="O135">
        <v>29.396626490362859</v>
      </c>
    </row>
    <row r="136" spans="1:15" x14ac:dyDescent="0.2">
      <c r="A136">
        <v>2050</v>
      </c>
      <c r="B136">
        <v>4.4091386510604997E-3</v>
      </c>
      <c r="C136">
        <v>34.050090311418458</v>
      </c>
      <c r="D136">
        <v>0</v>
      </c>
      <c r="E136">
        <v>4.3259473557570003E-4</v>
      </c>
      <c r="F136">
        <v>3.0901752534817999E-3</v>
      </c>
      <c r="G136">
        <v>4.1239912156198599E-2</v>
      </c>
      <c r="H136">
        <v>0.1002011483518324</v>
      </c>
      <c r="I136">
        <v>1.730378942303E-3</v>
      </c>
      <c r="J136">
        <v>1.1767754615121999E-3</v>
      </c>
      <c r="K136">
        <v>1.4974433154545E-3</v>
      </c>
      <c r="L136">
        <v>56.768255519268052</v>
      </c>
      <c r="M136">
        <v>8.3191295303019998E-4</v>
      </c>
      <c r="N136">
        <v>9.1238042125724714</v>
      </c>
      <c r="O136">
        <v>31.656108076665038</v>
      </c>
    </row>
  </sheetData>
  <pageMargins left="0.75" right="0.75" top="1" bottom="1" header="0.5" footer="0.5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E45"/>
  <sheetViews>
    <sheetView workbookViewId="0"/>
  </sheetViews>
  <sheetFormatPr baseColWidth="10" defaultColWidth="8.83203125" defaultRowHeight="15" x14ac:dyDescent="0.2"/>
  <cols>
    <col min="1" max="1" width="35" customWidth="1"/>
    <col min="2" max="2" width="25" customWidth="1"/>
    <col min="3" max="5" width="20" customWidth="1"/>
  </cols>
  <sheetData>
    <row r="1" spans="1:4" ht="19" x14ac:dyDescent="0.25">
      <c r="A1" s="4" t="s">
        <v>612</v>
      </c>
    </row>
    <row r="2" spans="1:4" x14ac:dyDescent="0.2">
      <c r="A2" s="5" t="s">
        <v>613</v>
      </c>
    </row>
    <row r="4" spans="1:4" ht="16" x14ac:dyDescent="0.2">
      <c r="A4" s="1" t="s">
        <v>614</v>
      </c>
    </row>
    <row r="6" spans="1:4" ht="16" x14ac:dyDescent="0.2">
      <c r="A6" s="3" t="s">
        <v>487</v>
      </c>
      <c r="B6" s="3" t="s">
        <v>81</v>
      </c>
      <c r="C6" s="3" t="s">
        <v>615</v>
      </c>
    </row>
    <row r="7" spans="1:4" x14ac:dyDescent="0.2">
      <c r="A7" t="s">
        <v>616</v>
      </c>
      <c r="B7" t="s">
        <v>617</v>
      </c>
      <c r="C7" t="s">
        <v>618</v>
      </c>
    </row>
    <row r="8" spans="1:4" x14ac:dyDescent="0.2">
      <c r="A8" t="s">
        <v>619</v>
      </c>
      <c r="B8" t="s">
        <v>620</v>
      </c>
      <c r="C8" t="s">
        <v>621</v>
      </c>
    </row>
    <row r="9" spans="1:4" x14ac:dyDescent="0.2">
      <c r="A9" t="s">
        <v>622</v>
      </c>
      <c r="B9" t="s">
        <v>623</v>
      </c>
      <c r="C9" t="s">
        <v>624</v>
      </c>
    </row>
    <row r="10" spans="1:4" x14ac:dyDescent="0.2">
      <c r="A10" t="s">
        <v>45</v>
      </c>
      <c r="B10" t="s">
        <v>625</v>
      </c>
      <c r="C10" t="s">
        <v>626</v>
      </c>
    </row>
    <row r="13" spans="1:4" ht="16" x14ac:dyDescent="0.2">
      <c r="A13" s="1" t="s">
        <v>627</v>
      </c>
    </row>
    <row r="15" spans="1:4" ht="16" x14ac:dyDescent="0.2">
      <c r="A15" s="3" t="s">
        <v>555</v>
      </c>
      <c r="B15" s="3" t="s">
        <v>628</v>
      </c>
      <c r="C15" s="3" t="s">
        <v>629</v>
      </c>
      <c r="D15" s="3" t="s">
        <v>630</v>
      </c>
    </row>
    <row r="16" spans="1:4" x14ac:dyDescent="0.2">
      <c r="A16" t="s">
        <v>631</v>
      </c>
      <c r="B16">
        <v>43.5</v>
      </c>
      <c r="C16" t="s">
        <v>121</v>
      </c>
      <c r="D16" t="s">
        <v>632</v>
      </c>
    </row>
    <row r="17" spans="1:5" x14ac:dyDescent="0.2">
      <c r="A17" t="s">
        <v>633</v>
      </c>
      <c r="B17">
        <v>50.53</v>
      </c>
      <c r="C17" t="s">
        <v>634</v>
      </c>
      <c r="D17" s="8" t="s">
        <v>635</v>
      </c>
    </row>
    <row r="18" spans="1:5" x14ac:dyDescent="0.2">
      <c r="A18" t="s">
        <v>636</v>
      </c>
      <c r="B18">
        <v>43.5</v>
      </c>
      <c r="C18" t="s">
        <v>637</v>
      </c>
      <c r="D18" s="9" t="s">
        <v>638</v>
      </c>
    </row>
    <row r="21" spans="1:5" ht="16" x14ac:dyDescent="0.2">
      <c r="A21" s="1" t="s">
        <v>639</v>
      </c>
    </row>
    <row r="23" spans="1:5" ht="16" x14ac:dyDescent="0.2">
      <c r="A23" s="3" t="s">
        <v>70</v>
      </c>
      <c r="B23" s="3" t="s">
        <v>640</v>
      </c>
      <c r="C23" s="3" t="s">
        <v>282</v>
      </c>
      <c r="D23" s="3" t="s">
        <v>641</v>
      </c>
      <c r="E23" s="3" t="s">
        <v>642</v>
      </c>
    </row>
    <row r="24" spans="1:5" x14ac:dyDescent="0.2">
      <c r="A24">
        <v>2025</v>
      </c>
      <c r="B24">
        <v>46.3</v>
      </c>
      <c r="C24">
        <v>70.3</v>
      </c>
      <c r="D24">
        <v>66.2</v>
      </c>
      <c r="E24" t="s">
        <v>643</v>
      </c>
    </row>
    <row r="25" spans="1:5" x14ac:dyDescent="0.2">
      <c r="A25">
        <v>2026</v>
      </c>
      <c r="B25" t="s">
        <v>121</v>
      </c>
      <c r="C25">
        <v>67.8</v>
      </c>
      <c r="D25">
        <v>63.62</v>
      </c>
    </row>
    <row r="26" spans="1:5" x14ac:dyDescent="0.2">
      <c r="A26">
        <v>2027</v>
      </c>
      <c r="B26" t="s">
        <v>121</v>
      </c>
      <c r="C26">
        <v>65.7</v>
      </c>
      <c r="D26">
        <v>61.04</v>
      </c>
    </row>
    <row r="27" spans="1:5" x14ac:dyDescent="0.2">
      <c r="A27">
        <v>2028</v>
      </c>
      <c r="B27" t="s">
        <v>121</v>
      </c>
      <c r="C27">
        <v>63.4</v>
      </c>
      <c r="D27">
        <v>58.46</v>
      </c>
    </row>
    <row r="28" spans="1:5" x14ac:dyDescent="0.2">
      <c r="A28">
        <v>2029</v>
      </c>
      <c r="B28" t="s">
        <v>121</v>
      </c>
      <c r="C28">
        <v>61.3</v>
      </c>
      <c r="D28">
        <v>55.88</v>
      </c>
    </row>
    <row r="29" spans="1:5" x14ac:dyDescent="0.2">
      <c r="A29">
        <v>2030</v>
      </c>
      <c r="B29">
        <v>37.299999999999997</v>
      </c>
      <c r="C29">
        <v>59.8</v>
      </c>
      <c r="D29">
        <v>53.3</v>
      </c>
      <c r="E29" t="s">
        <v>644</v>
      </c>
    </row>
    <row r="30" spans="1:5" x14ac:dyDescent="0.2">
      <c r="A30">
        <v>2031</v>
      </c>
      <c r="B30" t="s">
        <v>121</v>
      </c>
      <c r="C30">
        <v>57.8</v>
      </c>
      <c r="D30">
        <v>51.26</v>
      </c>
    </row>
    <row r="31" spans="1:5" x14ac:dyDescent="0.2">
      <c r="A31">
        <v>2032</v>
      </c>
      <c r="B31" t="s">
        <v>121</v>
      </c>
      <c r="C31">
        <v>55.8</v>
      </c>
      <c r="D31">
        <v>49.23</v>
      </c>
    </row>
    <row r="32" spans="1:5" x14ac:dyDescent="0.2">
      <c r="A32">
        <v>2033</v>
      </c>
      <c r="B32" t="s">
        <v>121</v>
      </c>
      <c r="C32">
        <v>53.8</v>
      </c>
      <c r="D32">
        <v>47.23</v>
      </c>
    </row>
    <row r="33" spans="1:5" x14ac:dyDescent="0.2">
      <c r="A33">
        <v>2034</v>
      </c>
      <c r="B33" t="s">
        <v>121</v>
      </c>
      <c r="C33">
        <v>51.8</v>
      </c>
      <c r="D33">
        <v>45.23</v>
      </c>
    </row>
    <row r="34" spans="1:5" x14ac:dyDescent="0.2">
      <c r="A34">
        <v>2035</v>
      </c>
      <c r="B34">
        <v>30.4</v>
      </c>
      <c r="C34">
        <v>50.5</v>
      </c>
      <c r="D34">
        <v>43.5</v>
      </c>
      <c r="E34" t="s">
        <v>645</v>
      </c>
    </row>
    <row r="37" spans="1:5" ht="16" x14ac:dyDescent="0.2">
      <c r="A37" s="1" t="s">
        <v>646</v>
      </c>
    </row>
    <row r="39" spans="1:5" x14ac:dyDescent="0.2">
      <c r="A39" s="2" t="s">
        <v>647</v>
      </c>
    </row>
    <row r="40" spans="1:5" x14ac:dyDescent="0.2">
      <c r="A40" t="s">
        <v>648</v>
      </c>
    </row>
    <row r="41" spans="1:5" x14ac:dyDescent="0.2">
      <c r="A41" t="s">
        <v>649</v>
      </c>
    </row>
    <row r="42" spans="1:5" x14ac:dyDescent="0.2">
      <c r="A42" s="9" t="s">
        <v>650</v>
      </c>
    </row>
    <row r="44" spans="1:5" x14ac:dyDescent="0.2">
      <c r="A44" t="s">
        <v>651</v>
      </c>
    </row>
    <row r="45" spans="1:5" x14ac:dyDescent="0.2">
      <c r="A45" t="s">
        <v>652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F38"/>
  <sheetViews>
    <sheetView workbookViewId="0"/>
  </sheetViews>
  <sheetFormatPr baseColWidth="10" defaultColWidth="8.83203125" defaultRowHeight="15" x14ac:dyDescent="0.2"/>
  <cols>
    <col min="1" max="1" width="40" customWidth="1"/>
    <col min="2" max="3" width="20" customWidth="1"/>
    <col min="4" max="5" width="15" customWidth="1"/>
    <col min="6" max="6" width="12" customWidth="1"/>
  </cols>
  <sheetData>
    <row r="1" spans="1:6" ht="19" x14ac:dyDescent="0.25">
      <c r="A1" s="4" t="s">
        <v>653</v>
      </c>
    </row>
    <row r="2" spans="1:6" x14ac:dyDescent="0.2">
      <c r="A2" s="5" t="s">
        <v>654</v>
      </c>
    </row>
    <row r="4" spans="1:6" ht="16" x14ac:dyDescent="0.2">
      <c r="A4" s="1" t="s">
        <v>655</v>
      </c>
    </row>
    <row r="6" spans="1:6" ht="16" x14ac:dyDescent="0.2">
      <c r="A6" s="3" t="s">
        <v>28</v>
      </c>
      <c r="B6" s="3" t="s">
        <v>656</v>
      </c>
      <c r="C6" s="3" t="s">
        <v>657</v>
      </c>
      <c r="D6" s="3" t="s">
        <v>658</v>
      </c>
      <c r="E6" s="3" t="s">
        <v>659</v>
      </c>
      <c r="F6" s="3" t="s">
        <v>660</v>
      </c>
    </row>
    <row r="7" spans="1:6" x14ac:dyDescent="0.2">
      <c r="A7" t="s">
        <v>276</v>
      </c>
      <c r="B7" t="s">
        <v>661</v>
      </c>
      <c r="C7" t="s">
        <v>662</v>
      </c>
      <c r="D7" t="s">
        <v>663</v>
      </c>
      <c r="E7" t="s">
        <v>664</v>
      </c>
      <c r="F7" t="s">
        <v>665</v>
      </c>
    </row>
    <row r="8" spans="1:6" x14ac:dyDescent="0.2">
      <c r="A8" t="s">
        <v>103</v>
      </c>
      <c r="B8" t="s">
        <v>666</v>
      </c>
      <c r="C8" t="s">
        <v>667</v>
      </c>
      <c r="D8" t="s">
        <v>668</v>
      </c>
      <c r="E8" t="s">
        <v>669</v>
      </c>
      <c r="F8" t="s">
        <v>665</v>
      </c>
    </row>
    <row r="9" spans="1:6" x14ac:dyDescent="0.2">
      <c r="A9" t="s">
        <v>31</v>
      </c>
      <c r="B9" t="s">
        <v>670</v>
      </c>
      <c r="C9" t="s">
        <v>671</v>
      </c>
      <c r="D9" t="s">
        <v>672</v>
      </c>
      <c r="E9" t="s">
        <v>673</v>
      </c>
      <c r="F9" t="s">
        <v>665</v>
      </c>
    </row>
    <row r="10" spans="1:6" x14ac:dyDescent="0.2">
      <c r="A10" t="s">
        <v>112</v>
      </c>
      <c r="B10" t="s">
        <v>674</v>
      </c>
      <c r="C10" t="s">
        <v>675</v>
      </c>
      <c r="D10" t="s">
        <v>676</v>
      </c>
      <c r="E10" t="s">
        <v>677</v>
      </c>
      <c r="F10" t="s">
        <v>665</v>
      </c>
    </row>
    <row r="13" spans="1:6" ht="16" x14ac:dyDescent="0.2">
      <c r="A13" s="1" t="s">
        <v>678</v>
      </c>
    </row>
    <row r="15" spans="1:6" ht="16" x14ac:dyDescent="0.2">
      <c r="A15" s="3" t="s">
        <v>555</v>
      </c>
      <c r="B15" s="3" t="s">
        <v>679</v>
      </c>
      <c r="C15" s="3" t="s">
        <v>680</v>
      </c>
      <c r="D15" s="3" t="s">
        <v>681</v>
      </c>
      <c r="E15" s="3" t="s">
        <v>682</v>
      </c>
    </row>
    <row r="16" spans="1:6" x14ac:dyDescent="0.2">
      <c r="A16" t="s">
        <v>683</v>
      </c>
      <c r="B16" t="s">
        <v>684</v>
      </c>
      <c r="C16" t="s">
        <v>685</v>
      </c>
      <c r="D16" t="s">
        <v>686</v>
      </c>
      <c r="E16" t="s">
        <v>687</v>
      </c>
    </row>
    <row r="17" spans="1:5" x14ac:dyDescent="0.2">
      <c r="A17" t="s">
        <v>688</v>
      </c>
      <c r="B17" t="s">
        <v>689</v>
      </c>
      <c r="C17" t="s">
        <v>690</v>
      </c>
      <c r="D17" t="s">
        <v>691</v>
      </c>
      <c r="E17" t="s">
        <v>692</v>
      </c>
    </row>
    <row r="18" spans="1:5" x14ac:dyDescent="0.2">
      <c r="A18" t="s">
        <v>693</v>
      </c>
      <c r="B18" t="s">
        <v>562</v>
      </c>
      <c r="C18" t="s">
        <v>694</v>
      </c>
      <c r="D18" t="s">
        <v>695</v>
      </c>
      <c r="E18" t="s">
        <v>696</v>
      </c>
    </row>
    <row r="19" spans="1:5" x14ac:dyDescent="0.2">
      <c r="A19" t="s">
        <v>697</v>
      </c>
      <c r="B19" t="s">
        <v>698</v>
      </c>
      <c r="C19" t="s">
        <v>699</v>
      </c>
      <c r="D19" t="s">
        <v>700</v>
      </c>
      <c r="E19" t="s">
        <v>701</v>
      </c>
    </row>
    <row r="20" spans="1:5" x14ac:dyDescent="0.2">
      <c r="A20" t="s">
        <v>702</v>
      </c>
      <c r="B20" t="s">
        <v>703</v>
      </c>
      <c r="C20" t="s">
        <v>704</v>
      </c>
      <c r="D20" t="s">
        <v>705</v>
      </c>
      <c r="E20" t="s">
        <v>706</v>
      </c>
    </row>
    <row r="21" spans="1:5" x14ac:dyDescent="0.2">
      <c r="A21" t="s">
        <v>707</v>
      </c>
      <c r="B21" t="s">
        <v>708</v>
      </c>
      <c r="C21" t="s">
        <v>709</v>
      </c>
      <c r="D21" t="s">
        <v>710</v>
      </c>
      <c r="E21" t="s">
        <v>711</v>
      </c>
    </row>
    <row r="24" spans="1:5" ht="16" x14ac:dyDescent="0.2">
      <c r="A24" s="1" t="s">
        <v>712</v>
      </c>
    </row>
    <row r="26" spans="1:5" x14ac:dyDescent="0.2">
      <c r="A26" t="s">
        <v>713</v>
      </c>
    </row>
    <row r="27" spans="1:5" x14ac:dyDescent="0.2">
      <c r="A27" t="s">
        <v>714</v>
      </c>
    </row>
    <row r="28" spans="1:5" x14ac:dyDescent="0.2">
      <c r="A28" t="s">
        <v>715</v>
      </c>
    </row>
    <row r="29" spans="1:5" x14ac:dyDescent="0.2">
      <c r="A29" t="s">
        <v>716</v>
      </c>
    </row>
    <row r="30" spans="1:5" x14ac:dyDescent="0.2">
      <c r="A30" t="s">
        <v>717</v>
      </c>
    </row>
    <row r="33" spans="1:1" ht="16" x14ac:dyDescent="0.2">
      <c r="A33" s="1" t="s">
        <v>718</v>
      </c>
    </row>
    <row r="35" spans="1:1" x14ac:dyDescent="0.2">
      <c r="A35" t="s">
        <v>719</v>
      </c>
    </row>
    <row r="36" spans="1:1" x14ac:dyDescent="0.2">
      <c r="A36" t="s">
        <v>720</v>
      </c>
    </row>
    <row r="37" spans="1:1" x14ac:dyDescent="0.2">
      <c r="A37" t="s">
        <v>721</v>
      </c>
    </row>
    <row r="38" spans="1:1" x14ac:dyDescent="0.2">
      <c r="A38" t="s">
        <v>722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H95"/>
  <sheetViews>
    <sheetView workbookViewId="0"/>
  </sheetViews>
  <sheetFormatPr baseColWidth="10" defaultColWidth="8.83203125" defaultRowHeight="15" x14ac:dyDescent="0.2"/>
  <cols>
    <col min="1" max="1" width="12" customWidth="1"/>
    <col min="2" max="2" width="25" customWidth="1"/>
    <col min="3" max="5" width="15" customWidth="1"/>
    <col min="6" max="7" width="18" customWidth="1"/>
  </cols>
  <sheetData>
    <row r="1" spans="1:6" ht="19" x14ac:dyDescent="0.25">
      <c r="A1" s="4" t="s">
        <v>723</v>
      </c>
    </row>
    <row r="2" spans="1:6" x14ac:dyDescent="0.2">
      <c r="A2" s="5" t="s">
        <v>724</v>
      </c>
    </row>
    <row r="4" spans="1:6" ht="16" x14ac:dyDescent="0.2">
      <c r="A4" s="1" t="s">
        <v>725</v>
      </c>
    </row>
    <row r="6" spans="1:6" ht="32" x14ac:dyDescent="0.2">
      <c r="A6" s="3" t="s">
        <v>726</v>
      </c>
      <c r="B6" s="3" t="s">
        <v>375</v>
      </c>
      <c r="C6" s="3" t="s">
        <v>159</v>
      </c>
      <c r="D6" s="3" t="s">
        <v>160</v>
      </c>
      <c r="E6" s="3" t="s">
        <v>727</v>
      </c>
    </row>
    <row r="7" spans="1:6" x14ac:dyDescent="0.2">
      <c r="A7" t="s">
        <v>728</v>
      </c>
      <c r="B7">
        <v>50</v>
      </c>
      <c r="C7" t="s">
        <v>729</v>
      </c>
      <c r="D7" t="s">
        <v>730</v>
      </c>
      <c r="E7" t="s">
        <v>731</v>
      </c>
    </row>
    <row r="8" spans="1:6" x14ac:dyDescent="0.2">
      <c r="A8" t="s">
        <v>732</v>
      </c>
      <c r="B8">
        <v>40</v>
      </c>
      <c r="C8" t="s">
        <v>733</v>
      </c>
      <c r="D8" t="s">
        <v>734</v>
      </c>
      <c r="E8" t="s">
        <v>735</v>
      </c>
    </row>
    <row r="9" spans="1:6" x14ac:dyDescent="0.2">
      <c r="A9" t="s">
        <v>736</v>
      </c>
      <c r="B9">
        <v>166</v>
      </c>
      <c r="C9" t="s">
        <v>737</v>
      </c>
      <c r="D9" t="s">
        <v>738</v>
      </c>
      <c r="E9" t="s">
        <v>739</v>
      </c>
    </row>
    <row r="12" spans="1:6" ht="16" x14ac:dyDescent="0.2">
      <c r="A12" s="1" t="s">
        <v>740</v>
      </c>
    </row>
    <row r="14" spans="1:6" ht="32" x14ac:dyDescent="0.2">
      <c r="A14" s="3" t="s">
        <v>70</v>
      </c>
      <c r="B14" s="3" t="s">
        <v>283</v>
      </c>
      <c r="C14" s="3" t="s">
        <v>284</v>
      </c>
      <c r="D14" s="3" t="s">
        <v>285</v>
      </c>
      <c r="E14" s="3" t="s">
        <v>741</v>
      </c>
      <c r="F14" s="3" t="s">
        <v>742</v>
      </c>
    </row>
    <row r="15" spans="1:6" x14ac:dyDescent="0.2">
      <c r="A15">
        <v>2025</v>
      </c>
      <c r="B15">
        <v>0</v>
      </c>
      <c r="C15">
        <v>0</v>
      </c>
      <c r="D15">
        <v>4.12</v>
      </c>
      <c r="E15">
        <v>4.12</v>
      </c>
      <c r="F15">
        <v>66.2</v>
      </c>
    </row>
    <row r="16" spans="1:6" x14ac:dyDescent="0.2">
      <c r="A16">
        <v>2026</v>
      </c>
      <c r="B16">
        <v>0</v>
      </c>
      <c r="C16">
        <v>0</v>
      </c>
      <c r="D16">
        <v>4.22</v>
      </c>
      <c r="E16">
        <v>4.22</v>
      </c>
      <c r="F16">
        <v>63.62</v>
      </c>
    </row>
    <row r="17" spans="1:6" x14ac:dyDescent="0.2">
      <c r="A17">
        <v>2027</v>
      </c>
      <c r="B17">
        <v>0</v>
      </c>
      <c r="C17">
        <v>0</v>
      </c>
      <c r="D17">
        <v>4.6100000000000003</v>
      </c>
      <c r="E17">
        <v>4.6100000000000003</v>
      </c>
      <c r="F17">
        <v>61.04</v>
      </c>
    </row>
    <row r="18" spans="1:6" x14ac:dyDescent="0.2">
      <c r="A18">
        <v>2028</v>
      </c>
      <c r="B18">
        <v>0</v>
      </c>
      <c r="C18">
        <v>0</v>
      </c>
      <c r="D18">
        <v>4.96</v>
      </c>
      <c r="E18">
        <v>4.96</v>
      </c>
      <c r="F18">
        <v>58.46</v>
      </c>
    </row>
    <row r="19" spans="1:6" x14ac:dyDescent="0.2">
      <c r="A19">
        <v>2029</v>
      </c>
      <c r="B19">
        <v>0</v>
      </c>
      <c r="C19">
        <v>0</v>
      </c>
      <c r="D19">
        <v>5.4</v>
      </c>
      <c r="E19">
        <v>5.4</v>
      </c>
      <c r="F19">
        <v>55.88</v>
      </c>
    </row>
    <row r="20" spans="1:6" x14ac:dyDescent="0.2">
      <c r="A20">
        <v>2030</v>
      </c>
      <c r="B20">
        <v>0</v>
      </c>
      <c r="C20">
        <v>0</v>
      </c>
      <c r="D20">
        <v>6.54</v>
      </c>
      <c r="E20">
        <v>6.54</v>
      </c>
      <c r="F20">
        <v>53.3</v>
      </c>
    </row>
    <row r="21" spans="1:6" x14ac:dyDescent="0.2">
      <c r="A21">
        <v>2031</v>
      </c>
      <c r="B21">
        <v>0</v>
      </c>
      <c r="C21">
        <v>0</v>
      </c>
      <c r="D21">
        <v>6.54</v>
      </c>
      <c r="E21">
        <v>6.54</v>
      </c>
      <c r="F21">
        <v>51.26</v>
      </c>
    </row>
    <row r="22" spans="1:6" x14ac:dyDescent="0.2">
      <c r="A22">
        <v>2032</v>
      </c>
      <c r="B22">
        <v>0</v>
      </c>
      <c r="C22">
        <v>0</v>
      </c>
      <c r="D22">
        <v>6.54</v>
      </c>
      <c r="E22">
        <v>6.54</v>
      </c>
      <c r="F22">
        <v>49.23</v>
      </c>
    </row>
    <row r="23" spans="1:6" x14ac:dyDescent="0.2">
      <c r="A23">
        <v>2033</v>
      </c>
      <c r="B23">
        <v>0</v>
      </c>
      <c r="C23">
        <v>0</v>
      </c>
      <c r="D23">
        <v>6.54</v>
      </c>
      <c r="E23">
        <v>6.54</v>
      </c>
      <c r="F23">
        <v>47.23</v>
      </c>
    </row>
    <row r="24" spans="1:6" x14ac:dyDescent="0.2">
      <c r="A24">
        <v>2034</v>
      </c>
      <c r="B24">
        <v>0</v>
      </c>
      <c r="C24">
        <v>0</v>
      </c>
      <c r="D24">
        <v>6.54</v>
      </c>
      <c r="E24">
        <v>6.54</v>
      </c>
      <c r="F24">
        <v>45.23</v>
      </c>
    </row>
    <row r="25" spans="1:6" x14ac:dyDescent="0.2">
      <c r="A25">
        <v>2035</v>
      </c>
      <c r="B25">
        <v>0</v>
      </c>
      <c r="C25">
        <v>0.28999999999999998</v>
      </c>
      <c r="D25">
        <v>6.74</v>
      </c>
      <c r="E25">
        <v>7.03</v>
      </c>
      <c r="F25">
        <v>43.5</v>
      </c>
    </row>
    <row r="26" spans="1:6" x14ac:dyDescent="0.2">
      <c r="A26">
        <v>2036</v>
      </c>
      <c r="B26">
        <v>0</v>
      </c>
      <c r="C26">
        <v>1.42</v>
      </c>
      <c r="D26">
        <v>6.74</v>
      </c>
      <c r="E26">
        <v>8.16</v>
      </c>
      <c r="F26">
        <v>40.18</v>
      </c>
    </row>
    <row r="27" spans="1:6" x14ac:dyDescent="0.2">
      <c r="A27">
        <v>2037</v>
      </c>
      <c r="B27">
        <v>0</v>
      </c>
      <c r="C27">
        <v>2.58</v>
      </c>
      <c r="D27">
        <v>6.74</v>
      </c>
      <c r="E27">
        <v>9.32</v>
      </c>
      <c r="F27">
        <v>36.86</v>
      </c>
    </row>
    <row r="28" spans="1:6" x14ac:dyDescent="0.2">
      <c r="A28">
        <v>2038</v>
      </c>
      <c r="B28">
        <v>0</v>
      </c>
      <c r="C28">
        <v>3.78</v>
      </c>
      <c r="D28">
        <v>6.74</v>
      </c>
      <c r="E28">
        <v>10.51</v>
      </c>
      <c r="F28">
        <v>33.54</v>
      </c>
    </row>
    <row r="29" spans="1:6" x14ac:dyDescent="0.2">
      <c r="A29">
        <v>2039</v>
      </c>
      <c r="B29">
        <v>0</v>
      </c>
      <c r="C29">
        <v>5</v>
      </c>
      <c r="D29">
        <v>6.74</v>
      </c>
      <c r="E29">
        <v>11.74</v>
      </c>
      <c r="F29">
        <v>30.22</v>
      </c>
    </row>
    <row r="30" spans="1:6" x14ac:dyDescent="0.2">
      <c r="A30">
        <v>2040</v>
      </c>
      <c r="B30">
        <v>0</v>
      </c>
      <c r="C30">
        <v>5</v>
      </c>
      <c r="D30">
        <v>6.74</v>
      </c>
      <c r="E30">
        <v>11.74</v>
      </c>
      <c r="F30">
        <v>26.5</v>
      </c>
    </row>
    <row r="31" spans="1:6" x14ac:dyDescent="0.2">
      <c r="A31">
        <v>2041</v>
      </c>
      <c r="B31">
        <v>0</v>
      </c>
      <c r="C31">
        <v>7.12</v>
      </c>
      <c r="D31">
        <v>6.74</v>
      </c>
      <c r="E31">
        <v>13.85</v>
      </c>
      <c r="F31">
        <v>24.2</v>
      </c>
    </row>
    <row r="32" spans="1:6" x14ac:dyDescent="0.2">
      <c r="A32">
        <v>2042</v>
      </c>
      <c r="B32">
        <v>0</v>
      </c>
      <c r="C32">
        <v>9.6300000000000008</v>
      </c>
      <c r="D32">
        <v>6.74</v>
      </c>
      <c r="E32">
        <v>16.37</v>
      </c>
      <c r="F32">
        <v>21.5</v>
      </c>
    </row>
    <row r="33" spans="1:7" x14ac:dyDescent="0.2">
      <c r="A33">
        <v>2043</v>
      </c>
      <c r="B33">
        <v>0</v>
      </c>
      <c r="C33">
        <v>12.14</v>
      </c>
      <c r="D33">
        <v>6.74</v>
      </c>
      <c r="E33">
        <v>18.88</v>
      </c>
      <c r="F33">
        <v>18.8</v>
      </c>
    </row>
    <row r="34" spans="1:7" x14ac:dyDescent="0.2">
      <c r="A34">
        <v>2044</v>
      </c>
      <c r="B34">
        <v>0</v>
      </c>
      <c r="C34">
        <v>14.66</v>
      </c>
      <c r="D34">
        <v>6.74</v>
      </c>
      <c r="E34">
        <v>21.39</v>
      </c>
      <c r="F34">
        <v>16.100000000000001</v>
      </c>
    </row>
    <row r="35" spans="1:7" x14ac:dyDescent="0.2">
      <c r="A35">
        <v>2045</v>
      </c>
      <c r="B35">
        <v>0</v>
      </c>
      <c r="C35">
        <v>17.170000000000002</v>
      </c>
      <c r="D35">
        <v>6.74</v>
      </c>
      <c r="E35">
        <v>23.91</v>
      </c>
      <c r="F35">
        <v>13.4</v>
      </c>
    </row>
    <row r="36" spans="1:7" x14ac:dyDescent="0.2">
      <c r="A36">
        <v>2046</v>
      </c>
      <c r="B36">
        <v>0</v>
      </c>
      <c r="C36">
        <v>19.66</v>
      </c>
      <c r="D36">
        <v>6.74</v>
      </c>
      <c r="E36">
        <v>26.4</v>
      </c>
      <c r="F36">
        <v>10.72</v>
      </c>
    </row>
    <row r="37" spans="1:7" x14ac:dyDescent="0.2">
      <c r="A37">
        <v>2047</v>
      </c>
      <c r="B37">
        <v>0</v>
      </c>
      <c r="C37">
        <v>22.15</v>
      </c>
      <c r="D37">
        <v>6.74</v>
      </c>
      <c r="E37">
        <v>28.89</v>
      </c>
      <c r="F37">
        <v>8.0399999999999991</v>
      </c>
    </row>
    <row r="38" spans="1:7" x14ac:dyDescent="0.2">
      <c r="A38">
        <v>2048</v>
      </c>
      <c r="B38">
        <v>0</v>
      </c>
      <c r="C38">
        <v>24.65</v>
      </c>
      <c r="D38">
        <v>6.74</v>
      </c>
      <c r="E38">
        <v>31.39</v>
      </c>
      <c r="F38">
        <v>5.36</v>
      </c>
    </row>
    <row r="39" spans="1:7" x14ac:dyDescent="0.2">
      <c r="A39">
        <v>2049</v>
      </c>
      <c r="B39">
        <v>0</v>
      </c>
      <c r="C39">
        <v>27.14</v>
      </c>
      <c r="D39">
        <v>6.74</v>
      </c>
      <c r="E39">
        <v>33.880000000000003</v>
      </c>
      <c r="F39">
        <v>2.68</v>
      </c>
    </row>
    <row r="40" spans="1:7" x14ac:dyDescent="0.2">
      <c r="A40">
        <v>2050</v>
      </c>
      <c r="B40">
        <v>0</v>
      </c>
      <c r="C40">
        <v>29.63</v>
      </c>
      <c r="D40">
        <v>6.74</v>
      </c>
      <c r="E40">
        <v>36.369999999999997</v>
      </c>
      <c r="F40">
        <v>0</v>
      </c>
    </row>
    <row r="43" spans="1:7" ht="16" x14ac:dyDescent="0.2">
      <c r="A43" s="1" t="s">
        <v>743</v>
      </c>
    </row>
    <row r="44" spans="1:7" x14ac:dyDescent="0.2">
      <c r="A44" s="5" t="s">
        <v>744</v>
      </c>
    </row>
    <row r="46" spans="1:7" ht="16" x14ac:dyDescent="0.2">
      <c r="A46" s="3" t="s">
        <v>745</v>
      </c>
      <c r="B46" s="3" t="s">
        <v>746</v>
      </c>
      <c r="C46" s="3" t="s">
        <v>158</v>
      </c>
      <c r="D46" s="3" t="s">
        <v>191</v>
      </c>
      <c r="E46" s="3" t="s">
        <v>159</v>
      </c>
      <c r="F46" s="3" t="s">
        <v>747</v>
      </c>
      <c r="G46" s="3" t="s">
        <v>28</v>
      </c>
    </row>
    <row r="47" spans="1:7" x14ac:dyDescent="0.2">
      <c r="A47">
        <v>1</v>
      </c>
      <c r="B47" t="s">
        <v>748</v>
      </c>
      <c r="C47" t="s">
        <v>170</v>
      </c>
      <c r="D47" t="s">
        <v>192</v>
      </c>
      <c r="E47" t="s">
        <v>749</v>
      </c>
      <c r="F47">
        <v>2032</v>
      </c>
      <c r="G47" t="s">
        <v>31</v>
      </c>
    </row>
    <row r="48" spans="1:7" x14ac:dyDescent="0.2">
      <c r="A48">
        <v>2</v>
      </c>
      <c r="B48" t="s">
        <v>748</v>
      </c>
      <c r="C48" t="s">
        <v>170</v>
      </c>
      <c r="D48" t="s">
        <v>192</v>
      </c>
      <c r="E48" t="s">
        <v>749</v>
      </c>
      <c r="F48">
        <v>2032</v>
      </c>
      <c r="G48" t="s">
        <v>31</v>
      </c>
    </row>
    <row r="49" spans="1:7" x14ac:dyDescent="0.2">
      <c r="A49">
        <v>3</v>
      </c>
      <c r="B49" t="s">
        <v>748</v>
      </c>
      <c r="C49" t="s">
        <v>170</v>
      </c>
      <c r="D49" t="s">
        <v>192</v>
      </c>
      <c r="E49" t="s">
        <v>749</v>
      </c>
      <c r="F49">
        <v>2035</v>
      </c>
      <c r="G49" t="s">
        <v>31</v>
      </c>
    </row>
    <row r="50" spans="1:7" x14ac:dyDescent="0.2">
      <c r="A50">
        <v>4</v>
      </c>
      <c r="B50" t="s">
        <v>750</v>
      </c>
      <c r="C50" t="s">
        <v>164</v>
      </c>
      <c r="D50" t="s">
        <v>192</v>
      </c>
      <c r="E50" t="s">
        <v>751</v>
      </c>
      <c r="F50">
        <v>2035</v>
      </c>
      <c r="G50" t="s">
        <v>31</v>
      </c>
    </row>
    <row r="51" spans="1:7" x14ac:dyDescent="0.2">
      <c r="A51">
        <v>5</v>
      </c>
      <c r="B51" t="s">
        <v>752</v>
      </c>
      <c r="C51" t="s">
        <v>161</v>
      </c>
      <c r="D51" t="s">
        <v>196</v>
      </c>
      <c r="E51" t="s">
        <v>753</v>
      </c>
      <c r="F51">
        <v>2038</v>
      </c>
      <c r="G51" t="s">
        <v>31</v>
      </c>
    </row>
    <row r="52" spans="1:7" x14ac:dyDescent="0.2">
      <c r="A52">
        <v>6</v>
      </c>
      <c r="B52" t="s">
        <v>752</v>
      </c>
      <c r="C52" t="s">
        <v>164</v>
      </c>
      <c r="D52" t="s">
        <v>192</v>
      </c>
      <c r="E52" t="s">
        <v>753</v>
      </c>
      <c r="F52">
        <v>2038</v>
      </c>
      <c r="G52" t="s">
        <v>31</v>
      </c>
    </row>
    <row r="53" spans="1:7" x14ac:dyDescent="0.2">
      <c r="A53">
        <v>7</v>
      </c>
      <c r="B53" t="s">
        <v>754</v>
      </c>
      <c r="C53" t="s">
        <v>161</v>
      </c>
      <c r="D53" t="s">
        <v>192</v>
      </c>
      <c r="E53" t="s">
        <v>755</v>
      </c>
      <c r="F53">
        <v>2038</v>
      </c>
      <c r="G53" t="s">
        <v>31</v>
      </c>
    </row>
    <row r="54" spans="1:7" x14ac:dyDescent="0.2">
      <c r="A54">
        <v>8</v>
      </c>
      <c r="B54" t="s">
        <v>750</v>
      </c>
      <c r="C54" t="s">
        <v>164</v>
      </c>
      <c r="D54" t="s">
        <v>196</v>
      </c>
      <c r="E54" t="s">
        <v>756</v>
      </c>
      <c r="F54">
        <v>2038</v>
      </c>
      <c r="G54" t="s">
        <v>31</v>
      </c>
    </row>
    <row r="55" spans="1:7" x14ac:dyDescent="0.2">
      <c r="A55">
        <v>9</v>
      </c>
      <c r="B55" t="s">
        <v>752</v>
      </c>
      <c r="C55" t="s">
        <v>161</v>
      </c>
      <c r="D55" t="s">
        <v>192</v>
      </c>
      <c r="E55" t="s">
        <v>757</v>
      </c>
      <c r="F55">
        <v>2038</v>
      </c>
      <c r="G55" t="s">
        <v>31</v>
      </c>
    </row>
    <row r="56" spans="1:7" x14ac:dyDescent="0.2">
      <c r="A56">
        <v>10</v>
      </c>
      <c r="B56" t="s">
        <v>758</v>
      </c>
      <c r="C56" t="s">
        <v>161</v>
      </c>
      <c r="D56" t="s">
        <v>196</v>
      </c>
      <c r="E56" t="s">
        <v>759</v>
      </c>
      <c r="F56">
        <v>2042</v>
      </c>
      <c r="G56" t="s">
        <v>31</v>
      </c>
    </row>
    <row r="57" spans="1:7" x14ac:dyDescent="0.2">
      <c r="A57">
        <v>11</v>
      </c>
      <c r="B57" t="s">
        <v>758</v>
      </c>
      <c r="C57" t="s">
        <v>161</v>
      </c>
      <c r="D57" t="s">
        <v>192</v>
      </c>
      <c r="E57" t="s">
        <v>760</v>
      </c>
      <c r="F57">
        <v>2042</v>
      </c>
      <c r="G57" t="s">
        <v>31</v>
      </c>
    </row>
    <row r="58" spans="1:7" x14ac:dyDescent="0.2">
      <c r="A58">
        <v>12</v>
      </c>
      <c r="B58" t="s">
        <v>761</v>
      </c>
      <c r="C58" t="s">
        <v>170</v>
      </c>
      <c r="D58" t="s">
        <v>192</v>
      </c>
      <c r="E58" t="s">
        <v>760</v>
      </c>
      <c r="F58">
        <v>2042</v>
      </c>
      <c r="G58" t="s">
        <v>31</v>
      </c>
    </row>
    <row r="59" spans="1:7" x14ac:dyDescent="0.2">
      <c r="A59">
        <v>13</v>
      </c>
      <c r="B59" t="s">
        <v>762</v>
      </c>
      <c r="C59" t="s">
        <v>164</v>
      </c>
      <c r="D59" t="s">
        <v>192</v>
      </c>
      <c r="E59" t="s">
        <v>763</v>
      </c>
      <c r="F59">
        <v>2042</v>
      </c>
      <c r="G59" t="s">
        <v>31</v>
      </c>
    </row>
    <row r="60" spans="1:7" x14ac:dyDescent="0.2">
      <c r="A60">
        <v>14</v>
      </c>
      <c r="B60" t="s">
        <v>764</v>
      </c>
      <c r="C60" t="s">
        <v>170</v>
      </c>
      <c r="D60" t="s">
        <v>196</v>
      </c>
      <c r="E60" t="s">
        <v>765</v>
      </c>
      <c r="F60">
        <v>2042</v>
      </c>
      <c r="G60" t="s">
        <v>31</v>
      </c>
    </row>
    <row r="61" spans="1:7" x14ac:dyDescent="0.2">
      <c r="A61">
        <v>15</v>
      </c>
      <c r="B61" t="s">
        <v>748</v>
      </c>
      <c r="C61" t="s">
        <v>170</v>
      </c>
      <c r="D61" t="s">
        <v>196</v>
      </c>
      <c r="E61" t="s">
        <v>766</v>
      </c>
      <c r="F61">
        <v>2042</v>
      </c>
      <c r="G61" t="s">
        <v>31</v>
      </c>
    </row>
    <row r="62" spans="1:7" x14ac:dyDescent="0.2">
      <c r="A62">
        <v>16</v>
      </c>
      <c r="B62" t="s">
        <v>748</v>
      </c>
      <c r="C62" t="s">
        <v>170</v>
      </c>
      <c r="D62" t="s">
        <v>196</v>
      </c>
      <c r="E62" t="s">
        <v>766</v>
      </c>
      <c r="F62">
        <v>2045</v>
      </c>
      <c r="G62" t="s">
        <v>31</v>
      </c>
    </row>
    <row r="63" spans="1:7" x14ac:dyDescent="0.2">
      <c r="A63">
        <v>17</v>
      </c>
      <c r="B63" t="s">
        <v>748</v>
      </c>
      <c r="C63" t="s">
        <v>170</v>
      </c>
      <c r="D63" t="s">
        <v>196</v>
      </c>
      <c r="E63" t="s">
        <v>766</v>
      </c>
      <c r="F63">
        <v>2045</v>
      </c>
      <c r="G63" t="s">
        <v>31</v>
      </c>
    </row>
    <row r="64" spans="1:7" x14ac:dyDescent="0.2">
      <c r="A64">
        <v>18</v>
      </c>
      <c r="B64" t="s">
        <v>752</v>
      </c>
      <c r="C64" t="s">
        <v>164</v>
      </c>
      <c r="D64" t="s">
        <v>196</v>
      </c>
      <c r="E64" t="s">
        <v>767</v>
      </c>
      <c r="F64">
        <v>2045</v>
      </c>
      <c r="G64" t="s">
        <v>31</v>
      </c>
    </row>
    <row r="65" spans="1:7" x14ac:dyDescent="0.2">
      <c r="A65">
        <v>19</v>
      </c>
      <c r="B65" t="s">
        <v>754</v>
      </c>
      <c r="C65" t="s">
        <v>161</v>
      </c>
      <c r="D65" t="s">
        <v>196</v>
      </c>
      <c r="E65" t="s">
        <v>768</v>
      </c>
      <c r="F65">
        <v>2045</v>
      </c>
      <c r="G65" t="s">
        <v>31</v>
      </c>
    </row>
    <row r="66" spans="1:7" x14ac:dyDescent="0.2">
      <c r="A66">
        <v>20</v>
      </c>
      <c r="B66" t="s">
        <v>769</v>
      </c>
      <c r="C66" t="s">
        <v>167</v>
      </c>
      <c r="D66" t="s">
        <v>196</v>
      </c>
      <c r="E66" t="s">
        <v>770</v>
      </c>
      <c r="F66">
        <v>2045</v>
      </c>
      <c r="G66" t="s">
        <v>31</v>
      </c>
    </row>
    <row r="67" spans="1:7" x14ac:dyDescent="0.2">
      <c r="A67">
        <v>21</v>
      </c>
      <c r="B67" t="s">
        <v>771</v>
      </c>
      <c r="C67" t="s">
        <v>167</v>
      </c>
      <c r="D67" t="s">
        <v>196</v>
      </c>
      <c r="E67" t="s">
        <v>772</v>
      </c>
      <c r="F67">
        <v>2045</v>
      </c>
      <c r="G67" t="s">
        <v>31</v>
      </c>
    </row>
    <row r="68" spans="1:7" x14ac:dyDescent="0.2">
      <c r="A68">
        <v>22</v>
      </c>
      <c r="B68" t="s">
        <v>754</v>
      </c>
      <c r="C68" t="s">
        <v>164</v>
      </c>
      <c r="D68" t="s">
        <v>196</v>
      </c>
      <c r="E68" t="s">
        <v>773</v>
      </c>
      <c r="F68">
        <v>2045</v>
      </c>
      <c r="G68" t="s">
        <v>31</v>
      </c>
    </row>
    <row r="69" spans="1:7" x14ac:dyDescent="0.2">
      <c r="A69">
        <v>23</v>
      </c>
      <c r="B69" t="s">
        <v>762</v>
      </c>
      <c r="C69" t="s">
        <v>164</v>
      </c>
      <c r="D69" t="s">
        <v>196</v>
      </c>
      <c r="E69" t="s">
        <v>774</v>
      </c>
      <c r="F69">
        <v>2048</v>
      </c>
      <c r="G69" t="s">
        <v>31</v>
      </c>
    </row>
    <row r="70" spans="1:7" x14ac:dyDescent="0.2">
      <c r="A70">
        <v>24</v>
      </c>
      <c r="B70" t="s">
        <v>775</v>
      </c>
      <c r="C70" t="s">
        <v>164</v>
      </c>
      <c r="D70" t="s">
        <v>196</v>
      </c>
      <c r="E70" t="s">
        <v>776</v>
      </c>
      <c r="F70">
        <v>2048</v>
      </c>
      <c r="G70" t="s">
        <v>31</v>
      </c>
    </row>
    <row r="71" spans="1:7" x14ac:dyDescent="0.2">
      <c r="A71">
        <v>25</v>
      </c>
      <c r="B71" t="s">
        <v>777</v>
      </c>
      <c r="C71" t="s">
        <v>161</v>
      </c>
      <c r="D71" t="s">
        <v>216</v>
      </c>
      <c r="E71" t="s">
        <v>778</v>
      </c>
      <c r="F71">
        <v>2048</v>
      </c>
      <c r="G71" t="s">
        <v>31</v>
      </c>
    </row>
    <row r="72" spans="1:7" x14ac:dyDescent="0.2">
      <c r="A72">
        <v>26</v>
      </c>
      <c r="B72" t="s">
        <v>752</v>
      </c>
      <c r="C72" t="s">
        <v>161</v>
      </c>
      <c r="D72" t="s">
        <v>216</v>
      </c>
      <c r="E72" t="s">
        <v>779</v>
      </c>
      <c r="F72">
        <v>2048</v>
      </c>
      <c r="G72" t="s">
        <v>31</v>
      </c>
    </row>
    <row r="73" spans="1:7" x14ac:dyDescent="0.2">
      <c r="A73">
        <v>27</v>
      </c>
      <c r="B73" t="s">
        <v>780</v>
      </c>
      <c r="C73" t="s">
        <v>167</v>
      </c>
      <c r="D73" t="s">
        <v>196</v>
      </c>
      <c r="E73" t="s">
        <v>781</v>
      </c>
      <c r="F73">
        <v>2048</v>
      </c>
      <c r="G73" t="s">
        <v>31</v>
      </c>
    </row>
    <row r="74" spans="1:7" x14ac:dyDescent="0.2">
      <c r="A74">
        <v>28</v>
      </c>
      <c r="B74" t="s">
        <v>748</v>
      </c>
      <c r="C74" t="s">
        <v>170</v>
      </c>
      <c r="D74" t="s">
        <v>216</v>
      </c>
      <c r="E74" t="s">
        <v>782</v>
      </c>
      <c r="F74">
        <v>2048</v>
      </c>
      <c r="G74" t="s">
        <v>31</v>
      </c>
    </row>
    <row r="75" spans="1:7" x14ac:dyDescent="0.2">
      <c r="A75">
        <v>29</v>
      </c>
      <c r="B75" t="s">
        <v>748</v>
      </c>
      <c r="C75" t="s">
        <v>170</v>
      </c>
      <c r="D75" t="s">
        <v>216</v>
      </c>
      <c r="E75" t="s">
        <v>782</v>
      </c>
      <c r="F75">
        <v>2048</v>
      </c>
      <c r="G75" t="s">
        <v>31</v>
      </c>
    </row>
    <row r="76" spans="1:7" x14ac:dyDescent="0.2">
      <c r="A76">
        <v>30</v>
      </c>
      <c r="B76" t="s">
        <v>748</v>
      </c>
      <c r="C76" t="s">
        <v>170</v>
      </c>
      <c r="D76" t="s">
        <v>216</v>
      </c>
      <c r="E76" t="s">
        <v>782</v>
      </c>
      <c r="F76">
        <v>2048</v>
      </c>
      <c r="G76" t="s">
        <v>31</v>
      </c>
    </row>
    <row r="77" spans="1:7" x14ac:dyDescent="0.2">
      <c r="A77">
        <v>31</v>
      </c>
      <c r="B77" t="s">
        <v>752</v>
      </c>
      <c r="C77" t="s">
        <v>164</v>
      </c>
      <c r="D77" t="s">
        <v>216</v>
      </c>
      <c r="E77" t="s">
        <v>782</v>
      </c>
      <c r="F77">
        <v>2048</v>
      </c>
      <c r="G77" t="s">
        <v>31</v>
      </c>
    </row>
    <row r="78" spans="1:7" x14ac:dyDescent="0.2">
      <c r="A78">
        <v>32</v>
      </c>
      <c r="B78" t="s">
        <v>783</v>
      </c>
      <c r="C78" t="s">
        <v>167</v>
      </c>
      <c r="D78" t="s">
        <v>784</v>
      </c>
      <c r="E78" t="s">
        <v>785</v>
      </c>
      <c r="F78">
        <v>2048</v>
      </c>
      <c r="G78" t="s">
        <v>31</v>
      </c>
    </row>
    <row r="79" spans="1:7" x14ac:dyDescent="0.2">
      <c r="A79">
        <v>33</v>
      </c>
      <c r="B79" t="s">
        <v>754</v>
      </c>
      <c r="C79" t="s">
        <v>164</v>
      </c>
      <c r="D79" t="s">
        <v>216</v>
      </c>
      <c r="E79" t="s">
        <v>785</v>
      </c>
      <c r="F79">
        <v>2048</v>
      </c>
      <c r="G79" t="s">
        <v>31</v>
      </c>
    </row>
    <row r="80" spans="1:7" x14ac:dyDescent="0.2">
      <c r="A80">
        <v>34</v>
      </c>
      <c r="B80" t="s">
        <v>764</v>
      </c>
      <c r="C80" t="s">
        <v>170</v>
      </c>
      <c r="D80" t="s">
        <v>192</v>
      </c>
      <c r="E80" t="s">
        <v>786</v>
      </c>
      <c r="F80">
        <v>2048</v>
      </c>
      <c r="G80" t="s">
        <v>31</v>
      </c>
    </row>
    <row r="81" spans="1:8" x14ac:dyDescent="0.2">
      <c r="A81">
        <v>35</v>
      </c>
      <c r="B81" t="s">
        <v>762</v>
      </c>
      <c r="C81" t="s">
        <v>164</v>
      </c>
      <c r="D81" t="s">
        <v>216</v>
      </c>
      <c r="E81" t="s">
        <v>787</v>
      </c>
      <c r="F81">
        <v>2048</v>
      </c>
      <c r="G81" t="s">
        <v>31</v>
      </c>
    </row>
    <row r="82" spans="1:8" x14ac:dyDescent="0.2">
      <c r="A82">
        <v>36</v>
      </c>
      <c r="B82" t="s">
        <v>754</v>
      </c>
      <c r="C82" t="s">
        <v>161</v>
      </c>
      <c r="D82" t="s">
        <v>216</v>
      </c>
      <c r="E82" t="s">
        <v>788</v>
      </c>
      <c r="F82">
        <v>2048</v>
      </c>
      <c r="G82" t="s">
        <v>31</v>
      </c>
    </row>
    <row r="83" spans="1:8" x14ac:dyDescent="0.2">
      <c r="A83">
        <v>37</v>
      </c>
      <c r="B83" t="s">
        <v>750</v>
      </c>
      <c r="C83" t="s">
        <v>164</v>
      </c>
      <c r="D83" t="s">
        <v>216</v>
      </c>
      <c r="E83" t="s">
        <v>789</v>
      </c>
      <c r="F83">
        <v>2048</v>
      </c>
      <c r="G83" t="s">
        <v>31</v>
      </c>
    </row>
    <row r="84" spans="1:8" x14ac:dyDescent="0.2">
      <c r="A84">
        <v>38</v>
      </c>
      <c r="B84" t="s">
        <v>790</v>
      </c>
      <c r="C84" t="s">
        <v>161</v>
      </c>
      <c r="D84" t="s">
        <v>216</v>
      </c>
      <c r="E84" t="s">
        <v>791</v>
      </c>
      <c r="F84">
        <v>2048</v>
      </c>
      <c r="G84" t="s">
        <v>31</v>
      </c>
    </row>
    <row r="85" spans="1:8" x14ac:dyDescent="0.2">
      <c r="A85">
        <v>39</v>
      </c>
      <c r="B85" t="s">
        <v>761</v>
      </c>
      <c r="C85" t="s">
        <v>167</v>
      </c>
      <c r="D85" t="s">
        <v>216</v>
      </c>
      <c r="E85" t="s">
        <v>792</v>
      </c>
      <c r="F85">
        <v>2048</v>
      </c>
      <c r="G85" t="s">
        <v>31</v>
      </c>
    </row>
    <row r="86" spans="1:8" x14ac:dyDescent="0.2">
      <c r="A86">
        <v>40</v>
      </c>
      <c r="B86" t="s">
        <v>793</v>
      </c>
      <c r="C86" t="s">
        <v>161</v>
      </c>
      <c r="D86" t="s">
        <v>216</v>
      </c>
      <c r="E86" t="s">
        <v>794</v>
      </c>
      <c r="F86">
        <v>2048</v>
      </c>
      <c r="G86" t="s">
        <v>31</v>
      </c>
    </row>
    <row r="89" spans="1:8" ht="16" x14ac:dyDescent="0.2">
      <c r="A89" s="1" t="s">
        <v>795</v>
      </c>
    </row>
    <row r="91" spans="1:8" ht="16" x14ac:dyDescent="0.2">
      <c r="A91" s="3" t="s">
        <v>374</v>
      </c>
      <c r="B91" s="3" t="s">
        <v>375</v>
      </c>
      <c r="C91" s="3" t="s">
        <v>9</v>
      </c>
      <c r="D91" s="3" t="s">
        <v>98</v>
      </c>
      <c r="E91" s="3" t="s">
        <v>796</v>
      </c>
      <c r="F91" s="3" t="s">
        <v>797</v>
      </c>
      <c r="G91" s="3" t="s">
        <v>798</v>
      </c>
      <c r="H91" s="3" t="s">
        <v>799</v>
      </c>
    </row>
    <row r="92" spans="1:8" x14ac:dyDescent="0.2">
      <c r="A92" t="s">
        <v>161</v>
      </c>
      <c r="B92">
        <v>85</v>
      </c>
      <c r="C92" t="s">
        <v>800</v>
      </c>
      <c r="D92" t="s">
        <v>801</v>
      </c>
      <c r="E92" t="s">
        <v>802</v>
      </c>
      <c r="F92" t="s">
        <v>803</v>
      </c>
      <c r="G92" t="s">
        <v>804</v>
      </c>
      <c r="H92" t="s">
        <v>805</v>
      </c>
    </row>
    <row r="93" spans="1:8" x14ac:dyDescent="0.2">
      <c r="A93" t="s">
        <v>164</v>
      </c>
      <c r="B93">
        <v>56</v>
      </c>
      <c r="C93" t="s">
        <v>800</v>
      </c>
      <c r="D93" t="s">
        <v>801</v>
      </c>
      <c r="E93" t="s">
        <v>802</v>
      </c>
      <c r="F93" t="s">
        <v>803</v>
      </c>
      <c r="G93" t="s">
        <v>804</v>
      </c>
      <c r="H93" t="s">
        <v>805</v>
      </c>
    </row>
    <row r="94" spans="1:8" x14ac:dyDescent="0.2">
      <c r="A94" t="s">
        <v>167</v>
      </c>
      <c r="B94">
        <v>65</v>
      </c>
      <c r="C94" t="s">
        <v>800</v>
      </c>
      <c r="D94" t="s">
        <v>801</v>
      </c>
      <c r="E94" t="s">
        <v>802</v>
      </c>
      <c r="F94" t="s">
        <v>803</v>
      </c>
      <c r="G94" t="s">
        <v>804</v>
      </c>
      <c r="H94" t="s">
        <v>805</v>
      </c>
    </row>
    <row r="95" spans="1:8" x14ac:dyDescent="0.2">
      <c r="A95" t="s">
        <v>170</v>
      </c>
      <c r="B95">
        <v>31</v>
      </c>
      <c r="C95" t="s">
        <v>800</v>
      </c>
      <c r="D95" t="s">
        <v>801</v>
      </c>
      <c r="E95" t="s">
        <v>802</v>
      </c>
      <c r="F95" t="s">
        <v>803</v>
      </c>
      <c r="G95" t="s">
        <v>804</v>
      </c>
      <c r="H95" t="s">
        <v>805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J260"/>
  <sheetViews>
    <sheetView workbookViewId="0"/>
  </sheetViews>
  <sheetFormatPr baseColWidth="10" defaultColWidth="8.83203125" defaultRowHeight="15" x14ac:dyDescent="0.2"/>
  <cols>
    <col min="1" max="1" width="6" customWidth="1"/>
    <col min="2" max="2" width="18" customWidth="1"/>
    <col min="3" max="3" width="16" customWidth="1"/>
    <col min="4" max="4" width="25" customWidth="1"/>
    <col min="5" max="5" width="12" customWidth="1"/>
    <col min="6" max="6" width="14" customWidth="1"/>
    <col min="7" max="8" width="12" customWidth="1"/>
    <col min="9" max="9" width="14" customWidth="1"/>
    <col min="10" max="10" width="16" customWidth="1"/>
  </cols>
  <sheetData>
    <row r="1" spans="1:10" ht="19" x14ac:dyDescent="0.25">
      <c r="A1" s="4" t="s">
        <v>806</v>
      </c>
    </row>
    <row r="2" spans="1:10" x14ac:dyDescent="0.2">
      <c r="A2" s="5" t="s">
        <v>807</v>
      </c>
    </row>
    <row r="4" spans="1:10" ht="16" x14ac:dyDescent="0.2">
      <c r="A4" s="3" t="s">
        <v>808</v>
      </c>
      <c r="B4" s="3" t="s">
        <v>191</v>
      </c>
      <c r="C4" s="3" t="s">
        <v>726</v>
      </c>
      <c r="D4" s="3" t="s">
        <v>746</v>
      </c>
      <c r="E4" s="3" t="s">
        <v>158</v>
      </c>
      <c r="F4" s="3" t="s">
        <v>159</v>
      </c>
      <c r="G4" s="3" t="s">
        <v>809</v>
      </c>
      <c r="H4" s="3" t="s">
        <v>810</v>
      </c>
      <c r="I4" s="3" t="s">
        <v>811</v>
      </c>
      <c r="J4" s="3" t="s">
        <v>812</v>
      </c>
    </row>
    <row r="5" spans="1:10" x14ac:dyDescent="0.2">
      <c r="A5">
        <v>1</v>
      </c>
      <c r="B5" t="s">
        <v>194</v>
      </c>
      <c r="C5" t="s">
        <v>728</v>
      </c>
      <c r="D5" t="s">
        <v>750</v>
      </c>
      <c r="E5" t="s">
        <v>164</v>
      </c>
      <c r="F5" t="s">
        <v>813</v>
      </c>
      <c r="G5">
        <v>1997</v>
      </c>
      <c r="H5">
        <v>28</v>
      </c>
      <c r="I5">
        <v>12</v>
      </c>
      <c r="J5">
        <v>2037</v>
      </c>
    </row>
    <row r="6" spans="1:10" x14ac:dyDescent="0.2">
      <c r="A6">
        <v>2</v>
      </c>
      <c r="B6" t="s">
        <v>194</v>
      </c>
      <c r="C6" t="s">
        <v>728</v>
      </c>
      <c r="D6" t="s">
        <v>764</v>
      </c>
      <c r="E6" t="s">
        <v>170</v>
      </c>
      <c r="F6" t="s">
        <v>814</v>
      </c>
      <c r="G6">
        <v>1997</v>
      </c>
      <c r="H6">
        <v>28</v>
      </c>
      <c r="I6">
        <v>12</v>
      </c>
      <c r="J6">
        <v>2037</v>
      </c>
    </row>
    <row r="7" spans="1:10" x14ac:dyDescent="0.2">
      <c r="A7">
        <v>3</v>
      </c>
      <c r="B7" t="s">
        <v>208</v>
      </c>
      <c r="C7" t="s">
        <v>728</v>
      </c>
      <c r="D7" t="s">
        <v>815</v>
      </c>
      <c r="E7" t="s">
        <v>167</v>
      </c>
      <c r="F7" t="s">
        <v>816</v>
      </c>
      <c r="G7">
        <v>2070</v>
      </c>
      <c r="H7">
        <v>-45</v>
      </c>
      <c r="I7">
        <v>85</v>
      </c>
      <c r="J7">
        <v>2110</v>
      </c>
    </row>
    <row r="8" spans="1:10" x14ac:dyDescent="0.2">
      <c r="A8">
        <v>4</v>
      </c>
      <c r="B8" t="s">
        <v>194</v>
      </c>
      <c r="C8" t="s">
        <v>728</v>
      </c>
      <c r="D8" t="s">
        <v>817</v>
      </c>
      <c r="E8" t="s">
        <v>173</v>
      </c>
      <c r="F8" t="s">
        <v>818</v>
      </c>
      <c r="G8">
        <v>2014</v>
      </c>
      <c r="H8">
        <v>11</v>
      </c>
      <c r="I8">
        <v>29</v>
      </c>
      <c r="J8">
        <v>2054</v>
      </c>
    </row>
    <row r="9" spans="1:10" x14ac:dyDescent="0.2">
      <c r="A9">
        <v>5</v>
      </c>
      <c r="B9" t="s">
        <v>194</v>
      </c>
      <c r="C9" t="s">
        <v>728</v>
      </c>
      <c r="D9" t="s">
        <v>775</v>
      </c>
      <c r="E9" t="s">
        <v>164</v>
      </c>
      <c r="F9" t="s">
        <v>819</v>
      </c>
      <c r="G9">
        <v>1997</v>
      </c>
      <c r="H9">
        <v>28</v>
      </c>
      <c r="I9">
        <v>12</v>
      </c>
      <c r="J9">
        <v>2037</v>
      </c>
    </row>
    <row r="10" spans="1:10" x14ac:dyDescent="0.2">
      <c r="A10">
        <v>6</v>
      </c>
      <c r="B10" t="s">
        <v>206</v>
      </c>
      <c r="C10" t="s">
        <v>728</v>
      </c>
      <c r="D10" t="s">
        <v>762</v>
      </c>
      <c r="E10" t="s">
        <v>164</v>
      </c>
      <c r="F10" t="s">
        <v>820</v>
      </c>
      <c r="G10">
        <v>2016</v>
      </c>
      <c r="H10">
        <v>9</v>
      </c>
      <c r="I10">
        <v>31</v>
      </c>
      <c r="J10">
        <v>2056</v>
      </c>
    </row>
    <row r="11" spans="1:10" x14ac:dyDescent="0.2">
      <c r="A11">
        <v>7</v>
      </c>
      <c r="B11" t="s">
        <v>194</v>
      </c>
      <c r="C11" t="s">
        <v>728</v>
      </c>
      <c r="D11" t="s">
        <v>758</v>
      </c>
      <c r="E11" t="s">
        <v>161</v>
      </c>
      <c r="F11" t="s">
        <v>820</v>
      </c>
      <c r="G11">
        <v>1990</v>
      </c>
      <c r="H11">
        <v>35</v>
      </c>
      <c r="I11">
        <v>5</v>
      </c>
      <c r="J11">
        <v>2030</v>
      </c>
    </row>
    <row r="12" spans="1:10" x14ac:dyDescent="0.2">
      <c r="A12">
        <v>8</v>
      </c>
      <c r="B12" t="s">
        <v>198</v>
      </c>
      <c r="C12" t="s">
        <v>728</v>
      </c>
      <c r="D12" t="s">
        <v>750</v>
      </c>
      <c r="E12" t="s">
        <v>164</v>
      </c>
      <c r="F12" t="s">
        <v>821</v>
      </c>
      <c r="G12">
        <v>1991</v>
      </c>
      <c r="H12">
        <v>34</v>
      </c>
      <c r="I12">
        <v>6</v>
      </c>
      <c r="J12">
        <v>2031</v>
      </c>
    </row>
    <row r="13" spans="1:10" x14ac:dyDescent="0.2">
      <c r="A13">
        <v>9</v>
      </c>
      <c r="B13" t="s">
        <v>194</v>
      </c>
      <c r="C13" t="s">
        <v>728</v>
      </c>
      <c r="D13" t="s">
        <v>822</v>
      </c>
      <c r="E13" t="s">
        <v>167</v>
      </c>
      <c r="F13" t="s">
        <v>823</v>
      </c>
      <c r="G13">
        <v>2014</v>
      </c>
      <c r="H13">
        <v>11</v>
      </c>
      <c r="I13">
        <v>29</v>
      </c>
      <c r="J13">
        <v>2054</v>
      </c>
    </row>
    <row r="14" spans="1:10" x14ac:dyDescent="0.2">
      <c r="A14">
        <v>10</v>
      </c>
      <c r="B14" t="s">
        <v>198</v>
      </c>
      <c r="C14" t="s">
        <v>728</v>
      </c>
      <c r="D14" t="s">
        <v>758</v>
      </c>
      <c r="E14" t="s">
        <v>161</v>
      </c>
      <c r="F14" t="s">
        <v>824</v>
      </c>
      <c r="G14">
        <v>1990</v>
      </c>
      <c r="H14">
        <v>35</v>
      </c>
      <c r="I14">
        <v>5</v>
      </c>
      <c r="J14">
        <v>2030</v>
      </c>
    </row>
    <row r="15" spans="1:10" x14ac:dyDescent="0.2">
      <c r="A15">
        <v>11</v>
      </c>
      <c r="B15" t="s">
        <v>206</v>
      </c>
      <c r="C15" t="s">
        <v>728</v>
      </c>
      <c r="D15" t="s">
        <v>815</v>
      </c>
      <c r="E15" t="s">
        <v>167</v>
      </c>
      <c r="F15" t="s">
        <v>825</v>
      </c>
      <c r="G15">
        <v>2070</v>
      </c>
      <c r="H15">
        <v>-45</v>
      </c>
      <c r="I15">
        <v>85</v>
      </c>
      <c r="J15">
        <v>2110</v>
      </c>
    </row>
    <row r="16" spans="1:10" x14ac:dyDescent="0.2">
      <c r="A16">
        <v>12</v>
      </c>
      <c r="B16" t="s">
        <v>194</v>
      </c>
      <c r="C16" t="s">
        <v>728</v>
      </c>
      <c r="D16" t="s">
        <v>815</v>
      </c>
      <c r="E16" t="s">
        <v>167</v>
      </c>
      <c r="F16" t="s">
        <v>826</v>
      </c>
      <c r="G16">
        <v>1990</v>
      </c>
      <c r="H16">
        <v>35</v>
      </c>
      <c r="I16">
        <v>5</v>
      </c>
      <c r="J16">
        <v>2030</v>
      </c>
    </row>
    <row r="17" spans="1:10" x14ac:dyDescent="0.2">
      <c r="A17">
        <v>13</v>
      </c>
      <c r="B17" t="s">
        <v>194</v>
      </c>
      <c r="C17" t="s">
        <v>728</v>
      </c>
      <c r="D17" t="s">
        <v>754</v>
      </c>
      <c r="E17" t="s">
        <v>167</v>
      </c>
      <c r="F17" t="s">
        <v>827</v>
      </c>
      <c r="G17">
        <v>1980</v>
      </c>
      <c r="H17">
        <v>45</v>
      </c>
      <c r="I17">
        <v>-5</v>
      </c>
      <c r="J17">
        <v>2020</v>
      </c>
    </row>
    <row r="18" spans="1:10" x14ac:dyDescent="0.2">
      <c r="A18">
        <v>14</v>
      </c>
      <c r="B18" t="s">
        <v>198</v>
      </c>
      <c r="C18" t="s">
        <v>728</v>
      </c>
      <c r="D18" t="s">
        <v>764</v>
      </c>
      <c r="E18" t="s">
        <v>170</v>
      </c>
      <c r="F18" t="s">
        <v>828</v>
      </c>
      <c r="G18">
        <v>1991</v>
      </c>
      <c r="H18">
        <v>34</v>
      </c>
      <c r="I18">
        <v>6</v>
      </c>
      <c r="J18">
        <v>2031</v>
      </c>
    </row>
    <row r="19" spans="1:10" x14ac:dyDescent="0.2">
      <c r="A19">
        <v>15</v>
      </c>
      <c r="B19" t="s">
        <v>198</v>
      </c>
      <c r="C19" t="s">
        <v>728</v>
      </c>
      <c r="D19" t="s">
        <v>752</v>
      </c>
      <c r="E19" t="s">
        <v>161</v>
      </c>
      <c r="F19" t="s">
        <v>829</v>
      </c>
      <c r="G19">
        <v>1992</v>
      </c>
      <c r="H19">
        <v>33</v>
      </c>
      <c r="I19">
        <v>7</v>
      </c>
      <c r="J19">
        <v>2032</v>
      </c>
    </row>
    <row r="20" spans="1:10" x14ac:dyDescent="0.2">
      <c r="A20">
        <v>16</v>
      </c>
      <c r="B20" t="s">
        <v>198</v>
      </c>
      <c r="C20" t="s">
        <v>728</v>
      </c>
      <c r="D20" t="s">
        <v>815</v>
      </c>
      <c r="E20" t="s">
        <v>167</v>
      </c>
      <c r="F20" t="s">
        <v>830</v>
      </c>
      <c r="G20">
        <v>1972</v>
      </c>
      <c r="H20">
        <v>53</v>
      </c>
      <c r="I20">
        <v>-13</v>
      </c>
      <c r="J20">
        <v>2012</v>
      </c>
    </row>
    <row r="21" spans="1:10" x14ac:dyDescent="0.2">
      <c r="A21">
        <v>17</v>
      </c>
      <c r="B21" t="s">
        <v>198</v>
      </c>
      <c r="C21" t="s">
        <v>728</v>
      </c>
      <c r="D21" t="s">
        <v>822</v>
      </c>
      <c r="E21" t="s">
        <v>167</v>
      </c>
      <c r="F21" t="s">
        <v>772</v>
      </c>
      <c r="G21">
        <v>2014</v>
      </c>
      <c r="H21">
        <v>11</v>
      </c>
      <c r="I21">
        <v>29</v>
      </c>
      <c r="J21">
        <v>2054</v>
      </c>
    </row>
    <row r="22" spans="1:10" x14ac:dyDescent="0.2">
      <c r="A22">
        <v>18</v>
      </c>
      <c r="B22" t="s">
        <v>198</v>
      </c>
      <c r="C22" t="s">
        <v>728</v>
      </c>
      <c r="D22" t="s">
        <v>817</v>
      </c>
      <c r="E22" t="s">
        <v>173</v>
      </c>
      <c r="F22" t="s">
        <v>772</v>
      </c>
      <c r="G22">
        <v>2006</v>
      </c>
      <c r="H22">
        <v>19</v>
      </c>
      <c r="I22">
        <v>21</v>
      </c>
      <c r="J22">
        <v>2046</v>
      </c>
    </row>
    <row r="23" spans="1:10" x14ac:dyDescent="0.2">
      <c r="A23">
        <v>19</v>
      </c>
      <c r="B23" t="s">
        <v>198</v>
      </c>
      <c r="C23" t="s">
        <v>728</v>
      </c>
      <c r="D23" t="s">
        <v>777</v>
      </c>
      <c r="E23" t="s">
        <v>161</v>
      </c>
      <c r="F23" t="s">
        <v>831</v>
      </c>
      <c r="G23">
        <v>1979</v>
      </c>
      <c r="H23">
        <v>46</v>
      </c>
      <c r="I23">
        <v>-6</v>
      </c>
      <c r="J23">
        <v>2019</v>
      </c>
    </row>
    <row r="24" spans="1:10" x14ac:dyDescent="0.2">
      <c r="A24">
        <v>20</v>
      </c>
      <c r="B24" t="s">
        <v>206</v>
      </c>
      <c r="C24" t="s">
        <v>728</v>
      </c>
      <c r="D24" t="s">
        <v>764</v>
      </c>
      <c r="E24" t="s">
        <v>170</v>
      </c>
      <c r="F24" t="s">
        <v>832</v>
      </c>
      <c r="G24">
        <v>1991</v>
      </c>
      <c r="H24">
        <v>34</v>
      </c>
      <c r="I24">
        <v>6</v>
      </c>
      <c r="J24">
        <v>2031</v>
      </c>
    </row>
    <row r="25" spans="1:10" x14ac:dyDescent="0.2">
      <c r="A25">
        <v>21</v>
      </c>
      <c r="B25" t="s">
        <v>198</v>
      </c>
      <c r="C25" t="s">
        <v>728</v>
      </c>
      <c r="D25" t="s">
        <v>762</v>
      </c>
      <c r="E25" t="s">
        <v>164</v>
      </c>
      <c r="F25" t="s">
        <v>833</v>
      </c>
      <c r="G25">
        <v>2016</v>
      </c>
      <c r="H25">
        <v>9</v>
      </c>
      <c r="I25">
        <v>31</v>
      </c>
      <c r="J25">
        <v>2056</v>
      </c>
    </row>
    <row r="26" spans="1:10" x14ac:dyDescent="0.2">
      <c r="A26">
        <v>22</v>
      </c>
      <c r="B26" t="s">
        <v>834</v>
      </c>
      <c r="C26" t="s">
        <v>728</v>
      </c>
      <c r="D26" t="s">
        <v>754</v>
      </c>
      <c r="E26" t="s">
        <v>167</v>
      </c>
      <c r="F26" t="s">
        <v>835</v>
      </c>
      <c r="G26">
        <v>1998</v>
      </c>
      <c r="H26">
        <v>27</v>
      </c>
      <c r="I26">
        <v>13</v>
      </c>
      <c r="J26">
        <v>2038</v>
      </c>
    </row>
    <row r="27" spans="1:10" x14ac:dyDescent="0.2">
      <c r="A27">
        <v>23</v>
      </c>
      <c r="B27" t="s">
        <v>206</v>
      </c>
      <c r="C27" t="s">
        <v>728</v>
      </c>
      <c r="D27" t="s">
        <v>758</v>
      </c>
      <c r="E27" t="s">
        <v>161</v>
      </c>
      <c r="F27" t="s">
        <v>836</v>
      </c>
      <c r="G27">
        <v>1990</v>
      </c>
      <c r="H27">
        <v>35</v>
      </c>
      <c r="I27">
        <v>5</v>
      </c>
      <c r="J27">
        <v>2030</v>
      </c>
    </row>
    <row r="28" spans="1:10" x14ac:dyDescent="0.2">
      <c r="A28">
        <v>24</v>
      </c>
      <c r="B28" t="s">
        <v>198</v>
      </c>
      <c r="C28" t="s">
        <v>728</v>
      </c>
      <c r="D28" t="s">
        <v>775</v>
      </c>
      <c r="E28" t="s">
        <v>164</v>
      </c>
      <c r="F28" t="s">
        <v>837</v>
      </c>
      <c r="G28">
        <v>1997</v>
      </c>
      <c r="H28">
        <v>28</v>
      </c>
      <c r="I28">
        <v>12</v>
      </c>
      <c r="J28">
        <v>2037</v>
      </c>
    </row>
    <row r="29" spans="1:10" x14ac:dyDescent="0.2">
      <c r="A29">
        <v>25</v>
      </c>
      <c r="B29" t="s">
        <v>208</v>
      </c>
      <c r="C29" t="s">
        <v>728</v>
      </c>
      <c r="D29" t="s">
        <v>764</v>
      </c>
      <c r="E29" t="s">
        <v>170</v>
      </c>
      <c r="F29" t="s">
        <v>781</v>
      </c>
      <c r="G29">
        <v>1991</v>
      </c>
      <c r="H29">
        <v>34</v>
      </c>
      <c r="I29">
        <v>6</v>
      </c>
      <c r="J29">
        <v>2031</v>
      </c>
    </row>
    <row r="30" spans="1:10" x14ac:dyDescent="0.2">
      <c r="A30">
        <v>26</v>
      </c>
      <c r="B30" t="s">
        <v>208</v>
      </c>
      <c r="C30" t="s">
        <v>728</v>
      </c>
      <c r="D30" t="s">
        <v>777</v>
      </c>
      <c r="E30" t="s">
        <v>161</v>
      </c>
      <c r="F30" t="s">
        <v>449</v>
      </c>
      <c r="G30">
        <v>1979</v>
      </c>
      <c r="H30">
        <v>46</v>
      </c>
      <c r="I30">
        <v>-6</v>
      </c>
      <c r="J30">
        <v>2019</v>
      </c>
    </row>
    <row r="31" spans="1:10" x14ac:dyDescent="0.2">
      <c r="A31">
        <v>27</v>
      </c>
      <c r="B31" t="s">
        <v>198</v>
      </c>
      <c r="C31" t="s">
        <v>728</v>
      </c>
      <c r="D31" t="s">
        <v>748</v>
      </c>
      <c r="E31" t="s">
        <v>170</v>
      </c>
      <c r="F31" t="s">
        <v>838</v>
      </c>
      <c r="G31">
        <v>2026</v>
      </c>
      <c r="H31">
        <v>-1</v>
      </c>
      <c r="I31">
        <v>41</v>
      </c>
      <c r="J31">
        <v>2066</v>
      </c>
    </row>
    <row r="32" spans="1:10" x14ac:dyDescent="0.2">
      <c r="A32">
        <v>28</v>
      </c>
      <c r="B32" t="s">
        <v>198</v>
      </c>
      <c r="C32" t="s">
        <v>728</v>
      </c>
      <c r="D32" t="s">
        <v>748</v>
      </c>
      <c r="E32" t="s">
        <v>170</v>
      </c>
      <c r="F32" t="s">
        <v>838</v>
      </c>
      <c r="G32">
        <v>2026</v>
      </c>
      <c r="H32">
        <v>-1</v>
      </c>
      <c r="I32">
        <v>41</v>
      </c>
      <c r="J32">
        <v>2066</v>
      </c>
    </row>
    <row r="33" spans="1:10" x14ac:dyDescent="0.2">
      <c r="A33">
        <v>29</v>
      </c>
      <c r="B33" t="s">
        <v>198</v>
      </c>
      <c r="C33" t="s">
        <v>728</v>
      </c>
      <c r="D33" t="s">
        <v>748</v>
      </c>
      <c r="E33" t="s">
        <v>170</v>
      </c>
      <c r="F33" t="s">
        <v>838</v>
      </c>
      <c r="G33">
        <v>2026</v>
      </c>
      <c r="H33">
        <v>-1</v>
      </c>
      <c r="I33">
        <v>41</v>
      </c>
      <c r="J33">
        <v>2066</v>
      </c>
    </row>
    <row r="34" spans="1:10" x14ac:dyDescent="0.2">
      <c r="A34">
        <v>30</v>
      </c>
      <c r="B34" t="s">
        <v>198</v>
      </c>
      <c r="C34" t="s">
        <v>728</v>
      </c>
      <c r="D34" t="s">
        <v>752</v>
      </c>
      <c r="E34" t="s">
        <v>164</v>
      </c>
      <c r="F34" t="s">
        <v>839</v>
      </c>
      <c r="G34">
        <v>1991</v>
      </c>
      <c r="H34">
        <v>34</v>
      </c>
      <c r="I34">
        <v>6</v>
      </c>
      <c r="J34">
        <v>2031</v>
      </c>
    </row>
    <row r="35" spans="1:10" x14ac:dyDescent="0.2">
      <c r="A35">
        <v>31</v>
      </c>
      <c r="B35" t="s">
        <v>198</v>
      </c>
      <c r="C35" t="s">
        <v>728</v>
      </c>
      <c r="D35" t="s">
        <v>754</v>
      </c>
      <c r="E35" t="s">
        <v>164</v>
      </c>
      <c r="F35" t="s">
        <v>840</v>
      </c>
      <c r="G35">
        <v>2011</v>
      </c>
      <c r="H35">
        <v>14</v>
      </c>
      <c r="I35">
        <v>26</v>
      </c>
      <c r="J35">
        <v>2051</v>
      </c>
    </row>
    <row r="36" spans="1:10" x14ac:dyDescent="0.2">
      <c r="A36">
        <v>32</v>
      </c>
      <c r="B36" t="s">
        <v>198</v>
      </c>
      <c r="C36" t="s">
        <v>728</v>
      </c>
      <c r="D36" t="s">
        <v>754</v>
      </c>
      <c r="E36" t="s">
        <v>161</v>
      </c>
      <c r="F36" t="s">
        <v>841</v>
      </c>
      <c r="G36">
        <v>1992</v>
      </c>
      <c r="H36">
        <v>33</v>
      </c>
      <c r="I36">
        <v>7</v>
      </c>
      <c r="J36">
        <v>2032</v>
      </c>
    </row>
    <row r="37" spans="1:10" x14ac:dyDescent="0.2">
      <c r="A37">
        <v>33</v>
      </c>
      <c r="B37" t="s">
        <v>208</v>
      </c>
      <c r="C37" t="s">
        <v>728</v>
      </c>
      <c r="D37" t="s">
        <v>754</v>
      </c>
      <c r="E37" t="s">
        <v>161</v>
      </c>
      <c r="F37" t="s">
        <v>842</v>
      </c>
      <c r="G37">
        <v>1992</v>
      </c>
      <c r="H37">
        <v>33</v>
      </c>
      <c r="I37">
        <v>7</v>
      </c>
      <c r="J37">
        <v>2032</v>
      </c>
    </row>
    <row r="38" spans="1:10" x14ac:dyDescent="0.2">
      <c r="A38">
        <v>34</v>
      </c>
      <c r="B38" t="s">
        <v>198</v>
      </c>
      <c r="C38" t="s">
        <v>728</v>
      </c>
      <c r="D38" t="s">
        <v>761</v>
      </c>
      <c r="E38" t="s">
        <v>170</v>
      </c>
      <c r="F38" t="s">
        <v>843</v>
      </c>
      <c r="G38">
        <v>2008</v>
      </c>
      <c r="H38">
        <v>17</v>
      </c>
      <c r="I38">
        <v>23</v>
      </c>
      <c r="J38">
        <v>2048</v>
      </c>
    </row>
    <row r="39" spans="1:10" x14ac:dyDescent="0.2">
      <c r="A39">
        <v>35</v>
      </c>
      <c r="B39" t="s">
        <v>844</v>
      </c>
      <c r="C39" t="s">
        <v>728</v>
      </c>
      <c r="D39" t="s">
        <v>754</v>
      </c>
      <c r="E39" t="s">
        <v>167</v>
      </c>
      <c r="F39" t="s">
        <v>843</v>
      </c>
      <c r="G39">
        <v>1980</v>
      </c>
      <c r="H39">
        <v>45</v>
      </c>
      <c r="I39">
        <v>-5</v>
      </c>
      <c r="J39">
        <v>2020</v>
      </c>
    </row>
    <row r="40" spans="1:10" x14ac:dyDescent="0.2">
      <c r="A40">
        <v>36</v>
      </c>
      <c r="B40" t="s">
        <v>206</v>
      </c>
      <c r="C40" t="s">
        <v>728</v>
      </c>
      <c r="D40" t="s">
        <v>777</v>
      </c>
      <c r="E40" t="s">
        <v>161</v>
      </c>
      <c r="F40" t="s">
        <v>845</v>
      </c>
      <c r="G40">
        <v>1979</v>
      </c>
      <c r="H40">
        <v>46</v>
      </c>
      <c r="I40">
        <v>-6</v>
      </c>
      <c r="J40">
        <v>2019</v>
      </c>
    </row>
    <row r="41" spans="1:10" x14ac:dyDescent="0.2">
      <c r="A41">
        <v>37</v>
      </c>
      <c r="B41" t="s">
        <v>198</v>
      </c>
      <c r="C41" t="s">
        <v>728</v>
      </c>
      <c r="D41" t="s">
        <v>846</v>
      </c>
      <c r="E41" t="s">
        <v>179</v>
      </c>
      <c r="F41" t="s">
        <v>782</v>
      </c>
      <c r="G41">
        <v>1995</v>
      </c>
      <c r="H41">
        <v>30</v>
      </c>
      <c r="I41">
        <v>10</v>
      </c>
      <c r="J41">
        <v>2035</v>
      </c>
    </row>
    <row r="42" spans="1:10" x14ac:dyDescent="0.2">
      <c r="A42">
        <v>38</v>
      </c>
      <c r="B42" t="s">
        <v>844</v>
      </c>
      <c r="C42" t="s">
        <v>728</v>
      </c>
      <c r="D42" t="s">
        <v>815</v>
      </c>
      <c r="E42" t="s">
        <v>167</v>
      </c>
      <c r="F42" t="s">
        <v>782</v>
      </c>
      <c r="G42">
        <v>1990</v>
      </c>
      <c r="H42">
        <v>35</v>
      </c>
      <c r="I42">
        <v>5</v>
      </c>
      <c r="J42">
        <v>2030</v>
      </c>
    </row>
    <row r="43" spans="1:10" x14ac:dyDescent="0.2">
      <c r="A43">
        <v>39</v>
      </c>
      <c r="B43" t="s">
        <v>208</v>
      </c>
      <c r="C43" t="s">
        <v>728</v>
      </c>
      <c r="D43" t="s">
        <v>758</v>
      </c>
      <c r="E43" t="s">
        <v>161</v>
      </c>
      <c r="F43" t="s">
        <v>419</v>
      </c>
      <c r="G43">
        <v>1990</v>
      </c>
      <c r="H43">
        <v>35</v>
      </c>
      <c r="I43">
        <v>5</v>
      </c>
      <c r="J43">
        <v>2030</v>
      </c>
    </row>
    <row r="44" spans="1:10" x14ac:dyDescent="0.2">
      <c r="A44">
        <v>40</v>
      </c>
      <c r="B44" t="s">
        <v>208</v>
      </c>
      <c r="C44" t="s">
        <v>728</v>
      </c>
      <c r="D44" t="s">
        <v>754</v>
      </c>
      <c r="E44" t="s">
        <v>164</v>
      </c>
      <c r="F44" t="s">
        <v>847</v>
      </c>
      <c r="G44">
        <v>2011</v>
      </c>
      <c r="H44">
        <v>14</v>
      </c>
      <c r="I44">
        <v>26</v>
      </c>
      <c r="J44">
        <v>2051</v>
      </c>
    </row>
    <row r="45" spans="1:10" x14ac:dyDescent="0.2">
      <c r="A45">
        <v>41</v>
      </c>
      <c r="B45" t="s">
        <v>208</v>
      </c>
      <c r="C45" t="s">
        <v>728</v>
      </c>
      <c r="D45" t="s">
        <v>752</v>
      </c>
      <c r="E45" t="s">
        <v>161</v>
      </c>
      <c r="F45" t="s">
        <v>848</v>
      </c>
      <c r="G45">
        <v>1992</v>
      </c>
      <c r="H45">
        <v>33</v>
      </c>
      <c r="I45">
        <v>7</v>
      </c>
      <c r="J45">
        <v>2032</v>
      </c>
    </row>
    <row r="46" spans="1:10" x14ac:dyDescent="0.2">
      <c r="A46">
        <v>42</v>
      </c>
      <c r="B46" t="s">
        <v>198</v>
      </c>
      <c r="C46" t="s">
        <v>728</v>
      </c>
      <c r="D46" t="s">
        <v>754</v>
      </c>
      <c r="E46" t="s">
        <v>167</v>
      </c>
      <c r="F46" t="s">
        <v>849</v>
      </c>
      <c r="G46">
        <v>1986</v>
      </c>
      <c r="H46">
        <v>39</v>
      </c>
      <c r="I46">
        <v>1</v>
      </c>
      <c r="J46">
        <v>2026</v>
      </c>
    </row>
    <row r="47" spans="1:10" x14ac:dyDescent="0.2">
      <c r="A47">
        <v>43</v>
      </c>
      <c r="B47" t="s">
        <v>208</v>
      </c>
      <c r="C47" t="s">
        <v>728</v>
      </c>
      <c r="D47" t="s">
        <v>752</v>
      </c>
      <c r="E47" t="s">
        <v>164</v>
      </c>
      <c r="F47" t="s">
        <v>393</v>
      </c>
      <c r="G47">
        <v>2011</v>
      </c>
      <c r="H47">
        <v>14</v>
      </c>
      <c r="I47">
        <v>26</v>
      </c>
      <c r="J47">
        <v>2051</v>
      </c>
    </row>
    <row r="48" spans="1:10" x14ac:dyDescent="0.2">
      <c r="A48">
        <v>44</v>
      </c>
      <c r="B48" t="s">
        <v>206</v>
      </c>
      <c r="C48" t="s">
        <v>728</v>
      </c>
      <c r="D48" t="s">
        <v>754</v>
      </c>
      <c r="E48" t="s">
        <v>161</v>
      </c>
      <c r="F48" t="s">
        <v>850</v>
      </c>
      <c r="G48">
        <v>1992</v>
      </c>
      <c r="H48">
        <v>33</v>
      </c>
      <c r="I48">
        <v>7</v>
      </c>
      <c r="J48">
        <v>2032</v>
      </c>
    </row>
    <row r="49" spans="1:10" x14ac:dyDescent="0.2">
      <c r="A49">
        <v>45</v>
      </c>
      <c r="B49" t="s">
        <v>208</v>
      </c>
      <c r="C49" t="s">
        <v>728</v>
      </c>
      <c r="D49" t="s">
        <v>761</v>
      </c>
      <c r="E49" t="s">
        <v>170</v>
      </c>
      <c r="F49" t="s">
        <v>851</v>
      </c>
      <c r="G49">
        <v>2008</v>
      </c>
      <c r="H49">
        <v>17</v>
      </c>
      <c r="I49">
        <v>23</v>
      </c>
      <c r="J49">
        <v>2048</v>
      </c>
    </row>
    <row r="50" spans="1:10" x14ac:dyDescent="0.2">
      <c r="A50">
        <v>46</v>
      </c>
      <c r="B50" t="s">
        <v>206</v>
      </c>
      <c r="C50" t="s">
        <v>728</v>
      </c>
      <c r="D50" t="s">
        <v>754</v>
      </c>
      <c r="E50" t="s">
        <v>164</v>
      </c>
      <c r="F50" t="s">
        <v>852</v>
      </c>
      <c r="G50">
        <v>2011</v>
      </c>
      <c r="H50">
        <v>14</v>
      </c>
      <c r="I50">
        <v>26</v>
      </c>
      <c r="J50">
        <v>2051</v>
      </c>
    </row>
    <row r="51" spans="1:10" x14ac:dyDescent="0.2">
      <c r="A51">
        <v>47</v>
      </c>
      <c r="B51" t="s">
        <v>206</v>
      </c>
      <c r="C51" t="s">
        <v>728</v>
      </c>
      <c r="D51" t="s">
        <v>752</v>
      </c>
      <c r="E51" t="s">
        <v>161</v>
      </c>
      <c r="F51" t="s">
        <v>852</v>
      </c>
      <c r="G51">
        <v>1992</v>
      </c>
      <c r="H51">
        <v>33</v>
      </c>
      <c r="I51">
        <v>7</v>
      </c>
      <c r="J51">
        <v>2032</v>
      </c>
    </row>
    <row r="52" spans="1:10" x14ac:dyDescent="0.2">
      <c r="A52">
        <v>48</v>
      </c>
      <c r="B52" t="s">
        <v>206</v>
      </c>
      <c r="C52" t="s">
        <v>728</v>
      </c>
      <c r="D52" t="s">
        <v>761</v>
      </c>
      <c r="E52" t="s">
        <v>170</v>
      </c>
      <c r="F52" t="s">
        <v>853</v>
      </c>
      <c r="G52">
        <v>2008</v>
      </c>
      <c r="H52">
        <v>17</v>
      </c>
      <c r="I52">
        <v>23</v>
      </c>
      <c r="J52">
        <v>2048</v>
      </c>
    </row>
    <row r="53" spans="1:10" x14ac:dyDescent="0.2">
      <c r="A53">
        <v>49</v>
      </c>
      <c r="B53" t="s">
        <v>208</v>
      </c>
      <c r="C53" t="s">
        <v>728</v>
      </c>
      <c r="D53" t="s">
        <v>846</v>
      </c>
      <c r="E53" t="s">
        <v>179</v>
      </c>
      <c r="F53" t="s">
        <v>854</v>
      </c>
      <c r="G53">
        <v>1995</v>
      </c>
      <c r="H53">
        <v>30</v>
      </c>
      <c r="I53">
        <v>10</v>
      </c>
      <c r="J53">
        <v>2035</v>
      </c>
    </row>
    <row r="54" spans="1:10" x14ac:dyDescent="0.2">
      <c r="A54">
        <v>50</v>
      </c>
      <c r="B54" t="s">
        <v>206</v>
      </c>
      <c r="C54" t="s">
        <v>728</v>
      </c>
      <c r="D54" t="s">
        <v>752</v>
      </c>
      <c r="E54" t="s">
        <v>164</v>
      </c>
      <c r="F54" t="s">
        <v>289</v>
      </c>
      <c r="G54">
        <v>2011</v>
      </c>
      <c r="H54">
        <v>14</v>
      </c>
      <c r="I54">
        <v>26</v>
      </c>
      <c r="J54">
        <v>2051</v>
      </c>
    </row>
    <row r="55" spans="1:10" x14ac:dyDescent="0.2">
      <c r="A55">
        <v>51</v>
      </c>
      <c r="B55" t="s">
        <v>192</v>
      </c>
      <c r="C55" t="s">
        <v>732</v>
      </c>
      <c r="D55" t="s">
        <v>748</v>
      </c>
      <c r="E55" t="s">
        <v>170</v>
      </c>
      <c r="F55" t="s">
        <v>749</v>
      </c>
      <c r="G55">
        <v>2026</v>
      </c>
      <c r="H55">
        <v>-1</v>
      </c>
      <c r="I55">
        <v>41</v>
      </c>
      <c r="J55">
        <v>2066</v>
      </c>
    </row>
    <row r="56" spans="1:10" x14ac:dyDescent="0.2">
      <c r="A56">
        <v>52</v>
      </c>
      <c r="B56" t="s">
        <v>192</v>
      </c>
      <c r="C56" t="s">
        <v>732</v>
      </c>
      <c r="D56" t="s">
        <v>748</v>
      </c>
      <c r="E56" t="s">
        <v>170</v>
      </c>
      <c r="F56" t="s">
        <v>749</v>
      </c>
      <c r="G56">
        <v>2026</v>
      </c>
      <c r="H56">
        <v>-1</v>
      </c>
      <c r="I56">
        <v>41</v>
      </c>
      <c r="J56">
        <v>2066</v>
      </c>
    </row>
    <row r="57" spans="1:10" x14ac:dyDescent="0.2">
      <c r="A57">
        <v>53</v>
      </c>
      <c r="B57" t="s">
        <v>192</v>
      </c>
      <c r="C57" t="s">
        <v>732</v>
      </c>
      <c r="D57" t="s">
        <v>748</v>
      </c>
      <c r="E57" t="s">
        <v>170</v>
      </c>
      <c r="F57" t="s">
        <v>749</v>
      </c>
      <c r="G57">
        <v>2026</v>
      </c>
      <c r="H57">
        <v>-1</v>
      </c>
      <c r="I57">
        <v>41</v>
      </c>
      <c r="J57">
        <v>2066</v>
      </c>
    </row>
    <row r="58" spans="1:10" x14ac:dyDescent="0.2">
      <c r="A58">
        <v>54</v>
      </c>
      <c r="B58" t="s">
        <v>192</v>
      </c>
      <c r="C58" t="s">
        <v>732</v>
      </c>
      <c r="D58" t="s">
        <v>750</v>
      </c>
      <c r="E58" t="s">
        <v>164</v>
      </c>
      <c r="F58" t="s">
        <v>751</v>
      </c>
      <c r="G58">
        <v>1991</v>
      </c>
      <c r="H58">
        <v>34</v>
      </c>
      <c r="I58">
        <v>6</v>
      </c>
      <c r="J58">
        <v>2031</v>
      </c>
    </row>
    <row r="59" spans="1:10" x14ac:dyDescent="0.2">
      <c r="A59">
        <v>55</v>
      </c>
      <c r="B59" t="s">
        <v>192</v>
      </c>
      <c r="C59" t="s">
        <v>732</v>
      </c>
      <c r="D59" t="s">
        <v>752</v>
      </c>
      <c r="E59" t="s">
        <v>164</v>
      </c>
      <c r="F59" t="s">
        <v>753</v>
      </c>
      <c r="G59">
        <v>1991</v>
      </c>
      <c r="H59">
        <v>34</v>
      </c>
      <c r="I59">
        <v>6</v>
      </c>
      <c r="J59">
        <v>2031</v>
      </c>
    </row>
    <row r="60" spans="1:10" x14ac:dyDescent="0.2">
      <c r="A60">
        <v>56</v>
      </c>
      <c r="B60" t="s">
        <v>196</v>
      </c>
      <c r="C60" t="s">
        <v>732</v>
      </c>
      <c r="D60" t="s">
        <v>752</v>
      </c>
      <c r="E60" t="s">
        <v>161</v>
      </c>
      <c r="F60" t="s">
        <v>753</v>
      </c>
      <c r="G60">
        <v>2021</v>
      </c>
      <c r="H60">
        <v>4</v>
      </c>
      <c r="I60">
        <v>36</v>
      </c>
      <c r="J60">
        <v>2061</v>
      </c>
    </row>
    <row r="61" spans="1:10" x14ac:dyDescent="0.2">
      <c r="A61">
        <v>57</v>
      </c>
      <c r="B61" t="s">
        <v>192</v>
      </c>
      <c r="C61" t="s">
        <v>732</v>
      </c>
      <c r="D61" t="s">
        <v>754</v>
      </c>
      <c r="E61" t="s">
        <v>161</v>
      </c>
      <c r="F61" t="s">
        <v>755</v>
      </c>
      <c r="G61">
        <v>1992</v>
      </c>
      <c r="H61">
        <v>33</v>
      </c>
      <c r="I61">
        <v>7</v>
      </c>
      <c r="J61">
        <v>2032</v>
      </c>
    </row>
    <row r="62" spans="1:10" x14ac:dyDescent="0.2">
      <c r="A62">
        <v>58</v>
      </c>
      <c r="B62" t="s">
        <v>196</v>
      </c>
      <c r="C62" t="s">
        <v>732</v>
      </c>
      <c r="D62" t="s">
        <v>750</v>
      </c>
      <c r="E62" t="s">
        <v>164</v>
      </c>
      <c r="F62" t="s">
        <v>756</v>
      </c>
      <c r="G62">
        <v>1991</v>
      </c>
      <c r="H62">
        <v>34</v>
      </c>
      <c r="I62">
        <v>6</v>
      </c>
      <c r="J62">
        <v>2031</v>
      </c>
    </row>
    <row r="63" spans="1:10" x14ac:dyDescent="0.2">
      <c r="A63">
        <v>59</v>
      </c>
      <c r="B63" t="s">
        <v>192</v>
      </c>
      <c r="C63" t="s">
        <v>732</v>
      </c>
      <c r="D63" t="s">
        <v>752</v>
      </c>
      <c r="E63" t="s">
        <v>161</v>
      </c>
      <c r="F63" t="s">
        <v>757</v>
      </c>
      <c r="G63">
        <v>2021</v>
      </c>
      <c r="H63">
        <v>4</v>
      </c>
      <c r="I63">
        <v>36</v>
      </c>
      <c r="J63">
        <v>2061</v>
      </c>
    </row>
    <row r="64" spans="1:10" x14ac:dyDescent="0.2">
      <c r="A64">
        <v>60</v>
      </c>
      <c r="B64" t="s">
        <v>196</v>
      </c>
      <c r="C64" t="s">
        <v>732</v>
      </c>
      <c r="D64" t="s">
        <v>758</v>
      </c>
      <c r="E64" t="s">
        <v>161</v>
      </c>
      <c r="F64" t="s">
        <v>759</v>
      </c>
      <c r="G64">
        <v>2021</v>
      </c>
      <c r="H64">
        <v>4</v>
      </c>
      <c r="I64">
        <v>36</v>
      </c>
      <c r="J64">
        <v>2061</v>
      </c>
    </row>
    <row r="65" spans="1:10" x14ac:dyDescent="0.2">
      <c r="A65">
        <v>61</v>
      </c>
      <c r="B65" t="s">
        <v>192</v>
      </c>
      <c r="C65" t="s">
        <v>732</v>
      </c>
      <c r="D65" t="s">
        <v>758</v>
      </c>
      <c r="E65" t="s">
        <v>161</v>
      </c>
      <c r="F65" t="s">
        <v>760</v>
      </c>
      <c r="G65">
        <v>2021</v>
      </c>
      <c r="H65">
        <v>4</v>
      </c>
      <c r="I65">
        <v>36</v>
      </c>
      <c r="J65">
        <v>2061</v>
      </c>
    </row>
    <row r="66" spans="1:10" x14ac:dyDescent="0.2">
      <c r="A66">
        <v>62</v>
      </c>
      <c r="B66" t="s">
        <v>192</v>
      </c>
      <c r="C66" t="s">
        <v>732</v>
      </c>
      <c r="D66" t="s">
        <v>761</v>
      </c>
      <c r="E66" t="s">
        <v>170</v>
      </c>
      <c r="F66" t="s">
        <v>760</v>
      </c>
      <c r="G66">
        <v>1991</v>
      </c>
      <c r="H66">
        <v>34</v>
      </c>
      <c r="I66">
        <v>6</v>
      </c>
      <c r="J66">
        <v>2031</v>
      </c>
    </row>
    <row r="67" spans="1:10" x14ac:dyDescent="0.2">
      <c r="A67">
        <v>63</v>
      </c>
      <c r="B67" t="s">
        <v>192</v>
      </c>
      <c r="C67" t="s">
        <v>732</v>
      </c>
      <c r="D67" t="s">
        <v>762</v>
      </c>
      <c r="E67" t="s">
        <v>164</v>
      </c>
      <c r="F67" t="s">
        <v>763</v>
      </c>
      <c r="G67">
        <v>2021</v>
      </c>
      <c r="H67">
        <v>4</v>
      </c>
      <c r="I67">
        <v>36</v>
      </c>
      <c r="J67">
        <v>2061</v>
      </c>
    </row>
    <row r="68" spans="1:10" x14ac:dyDescent="0.2">
      <c r="A68">
        <v>64</v>
      </c>
      <c r="B68" t="s">
        <v>196</v>
      </c>
      <c r="C68" t="s">
        <v>732</v>
      </c>
      <c r="D68" t="s">
        <v>764</v>
      </c>
      <c r="E68" t="s">
        <v>170</v>
      </c>
      <c r="F68" t="s">
        <v>765</v>
      </c>
      <c r="G68">
        <v>2018</v>
      </c>
      <c r="H68">
        <v>7</v>
      </c>
      <c r="I68">
        <v>33</v>
      </c>
      <c r="J68">
        <v>2058</v>
      </c>
    </row>
    <row r="69" spans="1:10" x14ac:dyDescent="0.2">
      <c r="A69">
        <v>65</v>
      </c>
      <c r="B69" t="s">
        <v>196</v>
      </c>
      <c r="C69" t="s">
        <v>732</v>
      </c>
      <c r="D69" t="s">
        <v>748</v>
      </c>
      <c r="E69" t="s">
        <v>170</v>
      </c>
      <c r="F69" t="s">
        <v>766</v>
      </c>
      <c r="G69">
        <v>2026</v>
      </c>
      <c r="H69">
        <v>-1</v>
      </c>
      <c r="I69">
        <v>41</v>
      </c>
      <c r="J69">
        <v>2066</v>
      </c>
    </row>
    <row r="70" spans="1:10" x14ac:dyDescent="0.2">
      <c r="A70">
        <v>66</v>
      </c>
      <c r="B70" t="s">
        <v>196</v>
      </c>
      <c r="C70" t="s">
        <v>732</v>
      </c>
      <c r="D70" t="s">
        <v>748</v>
      </c>
      <c r="E70" t="s">
        <v>170</v>
      </c>
      <c r="F70" t="s">
        <v>766</v>
      </c>
      <c r="G70">
        <v>2026</v>
      </c>
      <c r="H70">
        <v>-1</v>
      </c>
      <c r="I70">
        <v>41</v>
      </c>
      <c r="J70">
        <v>2066</v>
      </c>
    </row>
    <row r="71" spans="1:10" x14ac:dyDescent="0.2">
      <c r="A71">
        <v>67</v>
      </c>
      <c r="B71" t="s">
        <v>196</v>
      </c>
      <c r="C71" t="s">
        <v>732</v>
      </c>
      <c r="D71" t="s">
        <v>748</v>
      </c>
      <c r="E71" t="s">
        <v>170</v>
      </c>
      <c r="F71" t="s">
        <v>766</v>
      </c>
      <c r="G71">
        <v>2026</v>
      </c>
      <c r="H71">
        <v>-1</v>
      </c>
      <c r="I71">
        <v>41</v>
      </c>
      <c r="J71">
        <v>2066</v>
      </c>
    </row>
    <row r="72" spans="1:10" x14ac:dyDescent="0.2">
      <c r="A72">
        <v>68</v>
      </c>
      <c r="B72" t="s">
        <v>196</v>
      </c>
      <c r="C72" t="s">
        <v>732</v>
      </c>
      <c r="D72" t="s">
        <v>752</v>
      </c>
      <c r="E72" t="s">
        <v>164</v>
      </c>
      <c r="F72" t="s">
        <v>767</v>
      </c>
      <c r="G72">
        <v>1991</v>
      </c>
      <c r="H72">
        <v>34</v>
      </c>
      <c r="I72">
        <v>6</v>
      </c>
      <c r="J72">
        <v>2031</v>
      </c>
    </row>
    <row r="73" spans="1:10" x14ac:dyDescent="0.2">
      <c r="A73">
        <v>69</v>
      </c>
      <c r="B73" t="s">
        <v>196</v>
      </c>
      <c r="C73" t="s">
        <v>732</v>
      </c>
      <c r="D73" t="s">
        <v>754</v>
      </c>
      <c r="E73" t="s">
        <v>161</v>
      </c>
      <c r="F73" t="s">
        <v>768</v>
      </c>
      <c r="G73">
        <v>1992</v>
      </c>
      <c r="H73">
        <v>33</v>
      </c>
      <c r="I73">
        <v>7</v>
      </c>
      <c r="J73">
        <v>2032</v>
      </c>
    </row>
    <row r="74" spans="1:10" x14ac:dyDescent="0.2">
      <c r="A74">
        <v>70</v>
      </c>
      <c r="B74" t="s">
        <v>196</v>
      </c>
      <c r="C74" t="s">
        <v>732</v>
      </c>
      <c r="D74" t="s">
        <v>769</v>
      </c>
      <c r="E74" t="s">
        <v>167</v>
      </c>
      <c r="F74" t="s">
        <v>770</v>
      </c>
      <c r="G74">
        <v>1996</v>
      </c>
      <c r="H74">
        <v>29</v>
      </c>
      <c r="I74">
        <v>11</v>
      </c>
      <c r="J74">
        <v>2036</v>
      </c>
    </row>
    <row r="75" spans="1:10" x14ac:dyDescent="0.2">
      <c r="A75">
        <v>71</v>
      </c>
      <c r="B75" t="s">
        <v>196</v>
      </c>
      <c r="C75" t="s">
        <v>732</v>
      </c>
      <c r="D75" t="s">
        <v>771</v>
      </c>
      <c r="E75" t="s">
        <v>167</v>
      </c>
      <c r="F75" t="s">
        <v>772</v>
      </c>
      <c r="G75">
        <v>2016</v>
      </c>
      <c r="H75">
        <v>9</v>
      </c>
      <c r="I75">
        <v>31</v>
      </c>
      <c r="J75">
        <v>2056</v>
      </c>
    </row>
    <row r="76" spans="1:10" x14ac:dyDescent="0.2">
      <c r="A76">
        <v>72</v>
      </c>
      <c r="B76" t="s">
        <v>196</v>
      </c>
      <c r="C76" t="s">
        <v>732</v>
      </c>
      <c r="D76" t="s">
        <v>754</v>
      </c>
      <c r="E76" t="s">
        <v>164</v>
      </c>
      <c r="F76" t="s">
        <v>773</v>
      </c>
      <c r="G76">
        <v>1997</v>
      </c>
      <c r="H76">
        <v>28</v>
      </c>
      <c r="I76">
        <v>12</v>
      </c>
      <c r="J76">
        <v>2037</v>
      </c>
    </row>
    <row r="77" spans="1:10" x14ac:dyDescent="0.2">
      <c r="A77">
        <v>73</v>
      </c>
      <c r="B77" t="s">
        <v>196</v>
      </c>
      <c r="C77" t="s">
        <v>732</v>
      </c>
      <c r="D77" t="s">
        <v>762</v>
      </c>
      <c r="E77" t="s">
        <v>164</v>
      </c>
      <c r="F77" t="s">
        <v>774</v>
      </c>
      <c r="G77">
        <v>2021</v>
      </c>
      <c r="H77">
        <v>4</v>
      </c>
      <c r="I77">
        <v>36</v>
      </c>
      <c r="J77">
        <v>2061</v>
      </c>
    </row>
    <row r="78" spans="1:10" x14ac:dyDescent="0.2">
      <c r="A78">
        <v>74</v>
      </c>
      <c r="B78" t="s">
        <v>196</v>
      </c>
      <c r="C78" t="s">
        <v>732</v>
      </c>
      <c r="D78" t="s">
        <v>775</v>
      </c>
      <c r="E78" t="s">
        <v>164</v>
      </c>
      <c r="F78" t="s">
        <v>776</v>
      </c>
      <c r="G78">
        <v>2011</v>
      </c>
      <c r="H78">
        <v>14</v>
      </c>
      <c r="I78">
        <v>26</v>
      </c>
      <c r="J78">
        <v>2051</v>
      </c>
    </row>
    <row r="79" spans="1:10" x14ac:dyDescent="0.2">
      <c r="A79">
        <v>75</v>
      </c>
      <c r="B79" t="s">
        <v>216</v>
      </c>
      <c r="C79" t="s">
        <v>732</v>
      </c>
      <c r="D79" t="s">
        <v>777</v>
      </c>
      <c r="E79" t="s">
        <v>161</v>
      </c>
      <c r="F79" t="s">
        <v>778</v>
      </c>
      <c r="G79">
        <v>1992</v>
      </c>
      <c r="H79">
        <v>33</v>
      </c>
      <c r="I79">
        <v>7</v>
      </c>
      <c r="J79">
        <v>2032</v>
      </c>
    </row>
    <row r="80" spans="1:10" x14ac:dyDescent="0.2">
      <c r="A80">
        <v>76</v>
      </c>
      <c r="B80" t="s">
        <v>216</v>
      </c>
      <c r="C80" t="s">
        <v>732</v>
      </c>
      <c r="D80" t="s">
        <v>752</v>
      </c>
      <c r="E80" t="s">
        <v>161</v>
      </c>
      <c r="F80" t="s">
        <v>779</v>
      </c>
      <c r="G80">
        <v>1991</v>
      </c>
      <c r="H80">
        <v>34</v>
      </c>
      <c r="I80">
        <v>6</v>
      </c>
      <c r="J80">
        <v>2031</v>
      </c>
    </row>
    <row r="81" spans="1:10" x14ac:dyDescent="0.2">
      <c r="A81">
        <v>77</v>
      </c>
      <c r="B81" t="s">
        <v>196</v>
      </c>
      <c r="C81" t="s">
        <v>732</v>
      </c>
      <c r="D81" t="s">
        <v>780</v>
      </c>
      <c r="E81" t="s">
        <v>167</v>
      </c>
      <c r="F81" t="s">
        <v>781</v>
      </c>
      <c r="G81">
        <v>1997</v>
      </c>
      <c r="H81">
        <v>28</v>
      </c>
      <c r="I81">
        <v>12</v>
      </c>
      <c r="J81">
        <v>2037</v>
      </c>
    </row>
    <row r="82" spans="1:10" x14ac:dyDescent="0.2">
      <c r="A82">
        <v>78</v>
      </c>
      <c r="B82" t="s">
        <v>216</v>
      </c>
      <c r="C82" t="s">
        <v>732</v>
      </c>
      <c r="D82" t="s">
        <v>752</v>
      </c>
      <c r="E82" t="s">
        <v>164</v>
      </c>
      <c r="F82" t="s">
        <v>782</v>
      </c>
      <c r="G82">
        <v>1991</v>
      </c>
      <c r="H82">
        <v>34</v>
      </c>
      <c r="I82">
        <v>6</v>
      </c>
      <c r="J82">
        <v>2031</v>
      </c>
    </row>
    <row r="83" spans="1:10" x14ac:dyDescent="0.2">
      <c r="A83">
        <v>79</v>
      </c>
      <c r="B83" t="s">
        <v>216</v>
      </c>
      <c r="C83" t="s">
        <v>732</v>
      </c>
      <c r="D83" t="s">
        <v>748</v>
      </c>
      <c r="E83" t="s">
        <v>170</v>
      </c>
      <c r="F83" t="s">
        <v>782</v>
      </c>
      <c r="G83">
        <v>2026</v>
      </c>
      <c r="H83">
        <v>-1</v>
      </c>
      <c r="I83">
        <v>41</v>
      </c>
      <c r="J83">
        <v>2066</v>
      </c>
    </row>
    <row r="84" spans="1:10" x14ac:dyDescent="0.2">
      <c r="A84">
        <v>80</v>
      </c>
      <c r="B84" t="s">
        <v>216</v>
      </c>
      <c r="C84" t="s">
        <v>732</v>
      </c>
      <c r="D84" t="s">
        <v>748</v>
      </c>
      <c r="E84" t="s">
        <v>170</v>
      </c>
      <c r="F84" t="s">
        <v>782</v>
      </c>
      <c r="G84">
        <v>2026</v>
      </c>
      <c r="H84">
        <v>-1</v>
      </c>
      <c r="I84">
        <v>41</v>
      </c>
      <c r="J84">
        <v>2066</v>
      </c>
    </row>
    <row r="85" spans="1:10" x14ac:dyDescent="0.2">
      <c r="A85">
        <v>81</v>
      </c>
      <c r="B85" t="s">
        <v>216</v>
      </c>
      <c r="C85" t="s">
        <v>732</v>
      </c>
      <c r="D85" t="s">
        <v>748</v>
      </c>
      <c r="E85" t="s">
        <v>170</v>
      </c>
      <c r="F85" t="s">
        <v>782</v>
      </c>
      <c r="G85">
        <v>2026</v>
      </c>
      <c r="H85">
        <v>-1</v>
      </c>
      <c r="I85">
        <v>41</v>
      </c>
      <c r="J85">
        <v>2066</v>
      </c>
    </row>
    <row r="86" spans="1:10" x14ac:dyDescent="0.2">
      <c r="A86">
        <v>82</v>
      </c>
      <c r="B86" t="s">
        <v>216</v>
      </c>
      <c r="C86" t="s">
        <v>732</v>
      </c>
      <c r="D86" t="s">
        <v>754</v>
      </c>
      <c r="E86" t="s">
        <v>164</v>
      </c>
      <c r="F86" t="s">
        <v>785</v>
      </c>
      <c r="G86">
        <v>1997</v>
      </c>
      <c r="H86">
        <v>28</v>
      </c>
      <c r="I86">
        <v>12</v>
      </c>
      <c r="J86">
        <v>2037</v>
      </c>
    </row>
    <row r="87" spans="1:10" x14ac:dyDescent="0.2">
      <c r="A87">
        <v>83</v>
      </c>
      <c r="B87" t="s">
        <v>784</v>
      </c>
      <c r="C87" t="s">
        <v>732</v>
      </c>
      <c r="D87" t="s">
        <v>783</v>
      </c>
      <c r="E87" t="s">
        <v>167</v>
      </c>
      <c r="F87" t="s">
        <v>785</v>
      </c>
      <c r="G87">
        <v>2000</v>
      </c>
      <c r="H87">
        <v>25</v>
      </c>
      <c r="I87">
        <v>15</v>
      </c>
      <c r="J87">
        <v>2040</v>
      </c>
    </row>
    <row r="88" spans="1:10" x14ac:dyDescent="0.2">
      <c r="A88">
        <v>84</v>
      </c>
      <c r="B88" t="s">
        <v>192</v>
      </c>
      <c r="C88" t="s">
        <v>732</v>
      </c>
      <c r="D88" t="s">
        <v>764</v>
      </c>
      <c r="E88" t="s">
        <v>170</v>
      </c>
      <c r="F88" t="s">
        <v>786</v>
      </c>
      <c r="G88">
        <v>2018</v>
      </c>
      <c r="H88">
        <v>7</v>
      </c>
      <c r="I88">
        <v>33</v>
      </c>
      <c r="J88">
        <v>2058</v>
      </c>
    </row>
    <row r="89" spans="1:10" x14ac:dyDescent="0.2">
      <c r="A89">
        <v>85</v>
      </c>
      <c r="B89" t="s">
        <v>216</v>
      </c>
      <c r="C89" t="s">
        <v>732</v>
      </c>
      <c r="D89" t="s">
        <v>762</v>
      </c>
      <c r="E89" t="s">
        <v>164</v>
      </c>
      <c r="F89" t="s">
        <v>787</v>
      </c>
      <c r="G89">
        <v>2021</v>
      </c>
      <c r="H89">
        <v>4</v>
      </c>
      <c r="I89">
        <v>36</v>
      </c>
      <c r="J89">
        <v>2061</v>
      </c>
    </row>
    <row r="90" spans="1:10" x14ac:dyDescent="0.2">
      <c r="A90">
        <v>86</v>
      </c>
      <c r="B90" t="s">
        <v>216</v>
      </c>
      <c r="C90" t="s">
        <v>732</v>
      </c>
      <c r="D90" t="s">
        <v>754</v>
      </c>
      <c r="E90" t="s">
        <v>161</v>
      </c>
      <c r="F90" t="s">
        <v>788</v>
      </c>
      <c r="G90">
        <v>2011</v>
      </c>
      <c r="H90">
        <v>14</v>
      </c>
      <c r="I90">
        <v>26</v>
      </c>
      <c r="J90">
        <v>2051</v>
      </c>
    </row>
    <row r="91" spans="1:10" x14ac:dyDescent="0.2">
      <c r="A91">
        <v>87</v>
      </c>
      <c r="B91" t="s">
        <v>216</v>
      </c>
      <c r="C91" t="s">
        <v>732</v>
      </c>
      <c r="D91" t="s">
        <v>750</v>
      </c>
      <c r="E91" t="s">
        <v>164</v>
      </c>
      <c r="F91" t="s">
        <v>789</v>
      </c>
      <c r="G91">
        <v>1991</v>
      </c>
      <c r="H91">
        <v>34</v>
      </c>
      <c r="I91">
        <v>6</v>
      </c>
      <c r="J91">
        <v>2031</v>
      </c>
    </row>
    <row r="92" spans="1:10" x14ac:dyDescent="0.2">
      <c r="A92">
        <v>88</v>
      </c>
      <c r="B92" t="s">
        <v>216</v>
      </c>
      <c r="C92" t="s">
        <v>732</v>
      </c>
      <c r="D92" t="s">
        <v>790</v>
      </c>
      <c r="E92" t="s">
        <v>161</v>
      </c>
      <c r="F92" t="s">
        <v>791</v>
      </c>
      <c r="G92">
        <v>1992</v>
      </c>
      <c r="H92">
        <v>33</v>
      </c>
      <c r="I92">
        <v>7</v>
      </c>
      <c r="J92">
        <v>2032</v>
      </c>
    </row>
    <row r="93" spans="1:10" x14ac:dyDescent="0.2">
      <c r="A93">
        <v>89</v>
      </c>
      <c r="B93" t="s">
        <v>216</v>
      </c>
      <c r="C93" t="s">
        <v>732</v>
      </c>
      <c r="D93" t="s">
        <v>761</v>
      </c>
      <c r="E93" t="s">
        <v>167</v>
      </c>
      <c r="F93" t="s">
        <v>792</v>
      </c>
      <c r="G93">
        <v>2023</v>
      </c>
      <c r="H93">
        <v>2</v>
      </c>
      <c r="I93">
        <v>38</v>
      </c>
      <c r="J93">
        <v>2063</v>
      </c>
    </row>
    <row r="94" spans="1:10" x14ac:dyDescent="0.2">
      <c r="A94">
        <v>90</v>
      </c>
      <c r="B94" t="s">
        <v>216</v>
      </c>
      <c r="C94" t="s">
        <v>732</v>
      </c>
      <c r="D94" t="s">
        <v>793</v>
      </c>
      <c r="E94" t="s">
        <v>161</v>
      </c>
      <c r="F94" t="s">
        <v>794</v>
      </c>
      <c r="G94">
        <v>2022</v>
      </c>
      <c r="H94">
        <v>3</v>
      </c>
      <c r="I94">
        <v>37</v>
      </c>
      <c r="J94">
        <v>2062</v>
      </c>
    </row>
    <row r="95" spans="1:10" x14ac:dyDescent="0.2">
      <c r="A95">
        <v>91</v>
      </c>
      <c r="B95" t="s">
        <v>210</v>
      </c>
      <c r="C95" t="s">
        <v>736</v>
      </c>
      <c r="D95" t="s">
        <v>855</v>
      </c>
      <c r="E95" t="s">
        <v>161</v>
      </c>
      <c r="F95" t="s">
        <v>337</v>
      </c>
      <c r="G95">
        <v>1980</v>
      </c>
      <c r="H95">
        <v>45</v>
      </c>
      <c r="I95">
        <v>-5</v>
      </c>
      <c r="J95">
        <v>2020</v>
      </c>
    </row>
    <row r="96" spans="1:10" x14ac:dyDescent="0.2">
      <c r="A96">
        <v>92</v>
      </c>
      <c r="B96" t="s">
        <v>202</v>
      </c>
      <c r="C96" t="s">
        <v>736</v>
      </c>
      <c r="D96" t="s">
        <v>856</v>
      </c>
      <c r="E96" t="s">
        <v>161</v>
      </c>
      <c r="F96" t="s">
        <v>818</v>
      </c>
      <c r="G96">
        <v>1990</v>
      </c>
      <c r="H96">
        <v>35</v>
      </c>
      <c r="I96">
        <v>5</v>
      </c>
      <c r="J96">
        <v>2030</v>
      </c>
    </row>
    <row r="97" spans="1:10" x14ac:dyDescent="0.2">
      <c r="A97">
        <v>93</v>
      </c>
      <c r="B97" t="s">
        <v>202</v>
      </c>
      <c r="C97" t="s">
        <v>736</v>
      </c>
      <c r="D97" t="s">
        <v>857</v>
      </c>
      <c r="E97" t="s">
        <v>167</v>
      </c>
      <c r="F97" t="s">
        <v>753</v>
      </c>
      <c r="G97">
        <v>1995</v>
      </c>
      <c r="H97">
        <v>30</v>
      </c>
      <c r="I97">
        <v>10</v>
      </c>
      <c r="J97">
        <v>2035</v>
      </c>
    </row>
    <row r="98" spans="1:10" x14ac:dyDescent="0.2">
      <c r="A98">
        <v>94</v>
      </c>
      <c r="B98" t="s">
        <v>200</v>
      </c>
      <c r="C98" t="s">
        <v>736</v>
      </c>
      <c r="D98" t="s">
        <v>752</v>
      </c>
      <c r="E98" t="s">
        <v>164</v>
      </c>
      <c r="F98" t="s">
        <v>858</v>
      </c>
      <c r="G98">
        <v>2006</v>
      </c>
      <c r="H98">
        <v>19</v>
      </c>
      <c r="I98">
        <v>21</v>
      </c>
      <c r="J98">
        <v>2046</v>
      </c>
    </row>
    <row r="99" spans="1:10" x14ac:dyDescent="0.2">
      <c r="A99">
        <v>95</v>
      </c>
      <c r="B99" t="s">
        <v>212</v>
      </c>
      <c r="C99" t="s">
        <v>736</v>
      </c>
      <c r="D99" t="s">
        <v>750</v>
      </c>
      <c r="E99" t="s">
        <v>164</v>
      </c>
      <c r="F99" t="s">
        <v>859</v>
      </c>
      <c r="G99">
        <v>1991</v>
      </c>
      <c r="H99">
        <v>34</v>
      </c>
      <c r="I99">
        <v>6</v>
      </c>
      <c r="J99">
        <v>2031</v>
      </c>
    </row>
    <row r="100" spans="1:10" x14ac:dyDescent="0.2">
      <c r="A100">
        <v>96</v>
      </c>
      <c r="B100" t="s">
        <v>218</v>
      </c>
      <c r="C100" t="s">
        <v>736</v>
      </c>
      <c r="D100" t="s">
        <v>752</v>
      </c>
      <c r="E100" t="s">
        <v>161</v>
      </c>
      <c r="F100" t="s">
        <v>757</v>
      </c>
      <c r="G100">
        <v>1978</v>
      </c>
      <c r="H100">
        <v>47</v>
      </c>
      <c r="I100">
        <v>-7</v>
      </c>
      <c r="J100">
        <v>2018</v>
      </c>
    </row>
    <row r="101" spans="1:10" x14ac:dyDescent="0.2">
      <c r="A101">
        <v>97</v>
      </c>
      <c r="B101" t="s">
        <v>202</v>
      </c>
      <c r="C101" t="s">
        <v>736</v>
      </c>
      <c r="D101" t="s">
        <v>780</v>
      </c>
      <c r="E101" t="s">
        <v>167</v>
      </c>
      <c r="F101" t="s">
        <v>823</v>
      </c>
      <c r="G101">
        <v>1980</v>
      </c>
      <c r="H101">
        <v>45</v>
      </c>
      <c r="I101">
        <v>-5</v>
      </c>
      <c r="J101">
        <v>2020</v>
      </c>
    </row>
    <row r="102" spans="1:10" x14ac:dyDescent="0.2">
      <c r="A102">
        <v>98</v>
      </c>
      <c r="B102" t="s">
        <v>860</v>
      </c>
      <c r="C102" t="s">
        <v>736</v>
      </c>
      <c r="D102" t="s">
        <v>790</v>
      </c>
      <c r="E102" t="s">
        <v>167</v>
      </c>
      <c r="F102" t="s">
        <v>861</v>
      </c>
      <c r="G102">
        <v>2012</v>
      </c>
      <c r="H102">
        <v>13</v>
      </c>
      <c r="I102">
        <v>27</v>
      </c>
      <c r="J102">
        <v>2052</v>
      </c>
    </row>
    <row r="103" spans="1:10" x14ac:dyDescent="0.2">
      <c r="A103">
        <v>99</v>
      </c>
      <c r="B103" t="s">
        <v>210</v>
      </c>
      <c r="C103" t="s">
        <v>736</v>
      </c>
      <c r="D103" t="s">
        <v>752</v>
      </c>
      <c r="E103" t="s">
        <v>161</v>
      </c>
      <c r="F103" t="s">
        <v>862</v>
      </c>
      <c r="G103">
        <v>1996</v>
      </c>
      <c r="H103">
        <v>29</v>
      </c>
      <c r="I103">
        <v>11</v>
      </c>
      <c r="J103">
        <v>2036</v>
      </c>
    </row>
    <row r="104" spans="1:10" x14ac:dyDescent="0.2">
      <c r="A104">
        <v>100</v>
      </c>
      <c r="B104" t="s">
        <v>218</v>
      </c>
      <c r="C104" t="s">
        <v>736</v>
      </c>
      <c r="D104" t="s">
        <v>754</v>
      </c>
      <c r="E104" t="s">
        <v>161</v>
      </c>
      <c r="F104" t="s">
        <v>863</v>
      </c>
      <c r="G104">
        <v>1989</v>
      </c>
      <c r="H104">
        <v>36</v>
      </c>
      <c r="I104">
        <v>4</v>
      </c>
      <c r="J104">
        <v>2029</v>
      </c>
    </row>
    <row r="105" spans="1:10" x14ac:dyDescent="0.2">
      <c r="A105">
        <v>101</v>
      </c>
      <c r="B105" t="s">
        <v>200</v>
      </c>
      <c r="C105" t="s">
        <v>736</v>
      </c>
      <c r="D105" t="s">
        <v>758</v>
      </c>
      <c r="E105" t="s">
        <v>161</v>
      </c>
      <c r="F105" t="s">
        <v>864</v>
      </c>
      <c r="G105">
        <v>1987</v>
      </c>
      <c r="H105">
        <v>38</v>
      </c>
      <c r="I105">
        <v>2</v>
      </c>
      <c r="J105">
        <v>2027</v>
      </c>
    </row>
    <row r="106" spans="1:10" x14ac:dyDescent="0.2">
      <c r="A106">
        <v>102</v>
      </c>
      <c r="B106" t="s">
        <v>865</v>
      </c>
      <c r="C106" t="s">
        <v>736</v>
      </c>
      <c r="D106" t="s">
        <v>754</v>
      </c>
      <c r="E106" t="s">
        <v>164</v>
      </c>
      <c r="F106" t="s">
        <v>864</v>
      </c>
      <c r="G106">
        <v>2005</v>
      </c>
      <c r="H106">
        <v>20</v>
      </c>
      <c r="I106">
        <v>20</v>
      </c>
      <c r="J106">
        <v>2045</v>
      </c>
    </row>
    <row r="107" spans="1:10" x14ac:dyDescent="0.2">
      <c r="A107">
        <v>103</v>
      </c>
      <c r="B107" t="s">
        <v>866</v>
      </c>
      <c r="C107" t="s">
        <v>736</v>
      </c>
      <c r="D107" t="s">
        <v>752</v>
      </c>
      <c r="E107" t="s">
        <v>161</v>
      </c>
      <c r="F107" t="s">
        <v>867</v>
      </c>
      <c r="G107">
        <v>1990</v>
      </c>
      <c r="H107">
        <v>35</v>
      </c>
      <c r="I107">
        <v>5</v>
      </c>
      <c r="J107">
        <v>2030</v>
      </c>
    </row>
    <row r="108" spans="1:10" x14ac:dyDescent="0.2">
      <c r="A108">
        <v>104</v>
      </c>
      <c r="B108" t="s">
        <v>868</v>
      </c>
      <c r="C108" t="s">
        <v>736</v>
      </c>
      <c r="D108" t="s">
        <v>869</v>
      </c>
      <c r="E108" t="s">
        <v>167</v>
      </c>
      <c r="F108" t="s">
        <v>870</v>
      </c>
      <c r="G108">
        <v>1991</v>
      </c>
      <c r="H108">
        <v>34</v>
      </c>
      <c r="I108">
        <v>6</v>
      </c>
      <c r="J108">
        <v>2031</v>
      </c>
    </row>
    <row r="109" spans="1:10" x14ac:dyDescent="0.2">
      <c r="A109">
        <v>105</v>
      </c>
      <c r="B109" t="s">
        <v>202</v>
      </c>
      <c r="C109" t="s">
        <v>736</v>
      </c>
      <c r="D109" t="s">
        <v>857</v>
      </c>
      <c r="E109" t="s">
        <v>164</v>
      </c>
      <c r="F109" t="s">
        <v>871</v>
      </c>
      <c r="G109">
        <v>1997</v>
      </c>
      <c r="H109">
        <v>28</v>
      </c>
      <c r="I109">
        <v>12</v>
      </c>
      <c r="J109">
        <v>2037</v>
      </c>
    </row>
    <row r="110" spans="1:10" x14ac:dyDescent="0.2">
      <c r="A110">
        <v>106</v>
      </c>
      <c r="B110" t="s">
        <v>872</v>
      </c>
      <c r="C110" t="s">
        <v>736</v>
      </c>
      <c r="D110" t="s">
        <v>873</v>
      </c>
      <c r="E110" t="s">
        <v>161</v>
      </c>
      <c r="F110" t="s">
        <v>767</v>
      </c>
      <c r="G110">
        <v>1980</v>
      </c>
      <c r="H110">
        <v>45</v>
      </c>
      <c r="I110">
        <v>-5</v>
      </c>
      <c r="J110">
        <v>2020</v>
      </c>
    </row>
    <row r="111" spans="1:10" x14ac:dyDescent="0.2">
      <c r="A111">
        <v>107</v>
      </c>
      <c r="B111" t="s">
        <v>204</v>
      </c>
      <c r="C111" t="s">
        <v>736</v>
      </c>
      <c r="D111" t="s">
        <v>758</v>
      </c>
      <c r="E111" t="s">
        <v>161</v>
      </c>
      <c r="F111" t="s">
        <v>874</v>
      </c>
      <c r="G111">
        <v>2021</v>
      </c>
      <c r="H111">
        <v>4</v>
      </c>
      <c r="I111">
        <v>36</v>
      </c>
      <c r="J111">
        <v>2061</v>
      </c>
    </row>
    <row r="112" spans="1:10" x14ac:dyDescent="0.2">
      <c r="A112">
        <v>108</v>
      </c>
      <c r="B112" t="s">
        <v>204</v>
      </c>
      <c r="C112" t="s">
        <v>736</v>
      </c>
      <c r="D112" t="s">
        <v>875</v>
      </c>
      <c r="E112" t="s">
        <v>161</v>
      </c>
      <c r="F112" t="s">
        <v>829</v>
      </c>
      <c r="G112">
        <v>1980</v>
      </c>
      <c r="H112">
        <v>45</v>
      </c>
      <c r="I112">
        <v>-5</v>
      </c>
      <c r="J112">
        <v>2020</v>
      </c>
    </row>
    <row r="113" spans="1:10" x14ac:dyDescent="0.2">
      <c r="A113">
        <v>109</v>
      </c>
      <c r="B113" t="s">
        <v>876</v>
      </c>
      <c r="C113" t="s">
        <v>736</v>
      </c>
      <c r="D113" t="s">
        <v>877</v>
      </c>
      <c r="E113" t="s">
        <v>161</v>
      </c>
      <c r="F113" t="s">
        <v>878</v>
      </c>
      <c r="G113">
        <v>1992</v>
      </c>
      <c r="H113">
        <v>33</v>
      </c>
      <c r="I113">
        <v>7</v>
      </c>
      <c r="J113">
        <v>2032</v>
      </c>
    </row>
    <row r="114" spans="1:10" x14ac:dyDescent="0.2">
      <c r="A114">
        <v>110</v>
      </c>
      <c r="B114" t="s">
        <v>879</v>
      </c>
      <c r="C114" t="s">
        <v>736</v>
      </c>
      <c r="D114" t="s">
        <v>880</v>
      </c>
      <c r="E114" t="s">
        <v>167</v>
      </c>
      <c r="F114" t="s">
        <v>881</v>
      </c>
      <c r="G114">
        <v>1972</v>
      </c>
      <c r="H114">
        <v>53</v>
      </c>
      <c r="I114">
        <v>-13</v>
      </c>
      <c r="J114">
        <v>2012</v>
      </c>
    </row>
    <row r="115" spans="1:10" x14ac:dyDescent="0.2">
      <c r="A115">
        <v>111</v>
      </c>
      <c r="B115" t="s">
        <v>214</v>
      </c>
      <c r="C115" t="s">
        <v>736</v>
      </c>
      <c r="D115" t="s">
        <v>754</v>
      </c>
      <c r="E115" t="s">
        <v>161</v>
      </c>
      <c r="F115" t="s">
        <v>772</v>
      </c>
      <c r="G115">
        <v>2019</v>
      </c>
      <c r="H115">
        <v>6</v>
      </c>
      <c r="I115">
        <v>34</v>
      </c>
      <c r="J115">
        <v>2059</v>
      </c>
    </row>
    <row r="116" spans="1:10" x14ac:dyDescent="0.2">
      <c r="A116">
        <v>112</v>
      </c>
      <c r="B116" t="s">
        <v>200</v>
      </c>
      <c r="C116" t="s">
        <v>736</v>
      </c>
      <c r="D116" t="s">
        <v>750</v>
      </c>
      <c r="E116" t="s">
        <v>164</v>
      </c>
      <c r="F116" t="s">
        <v>772</v>
      </c>
      <c r="G116">
        <v>1991</v>
      </c>
      <c r="H116">
        <v>34</v>
      </c>
      <c r="I116">
        <v>6</v>
      </c>
      <c r="J116">
        <v>2031</v>
      </c>
    </row>
    <row r="117" spans="1:10" x14ac:dyDescent="0.2">
      <c r="A117">
        <v>113</v>
      </c>
      <c r="B117" t="s">
        <v>200</v>
      </c>
      <c r="C117" t="s">
        <v>736</v>
      </c>
      <c r="D117" t="s">
        <v>882</v>
      </c>
      <c r="E117" t="s">
        <v>167</v>
      </c>
      <c r="F117" t="s">
        <v>772</v>
      </c>
      <c r="G117">
        <v>2021</v>
      </c>
      <c r="H117">
        <v>4</v>
      </c>
      <c r="I117">
        <v>36</v>
      </c>
      <c r="J117">
        <v>2061</v>
      </c>
    </row>
    <row r="118" spans="1:10" x14ac:dyDescent="0.2">
      <c r="A118">
        <v>114</v>
      </c>
      <c r="B118" t="s">
        <v>866</v>
      </c>
      <c r="C118" t="s">
        <v>736</v>
      </c>
      <c r="D118" t="s">
        <v>855</v>
      </c>
      <c r="E118" t="s">
        <v>161</v>
      </c>
      <c r="F118" t="s">
        <v>883</v>
      </c>
      <c r="G118">
        <v>1979</v>
      </c>
      <c r="H118">
        <v>46</v>
      </c>
      <c r="I118">
        <v>-6</v>
      </c>
      <c r="J118">
        <v>2019</v>
      </c>
    </row>
    <row r="119" spans="1:10" x14ac:dyDescent="0.2">
      <c r="A119">
        <v>115</v>
      </c>
      <c r="B119" t="s">
        <v>212</v>
      </c>
      <c r="C119" t="s">
        <v>736</v>
      </c>
      <c r="D119" t="s">
        <v>752</v>
      </c>
      <c r="E119" t="s">
        <v>164</v>
      </c>
      <c r="F119" t="s">
        <v>884</v>
      </c>
      <c r="G119">
        <v>2006</v>
      </c>
      <c r="H119">
        <v>19</v>
      </c>
      <c r="I119">
        <v>21</v>
      </c>
      <c r="J119">
        <v>2046</v>
      </c>
    </row>
    <row r="120" spans="1:10" x14ac:dyDescent="0.2">
      <c r="A120">
        <v>116</v>
      </c>
      <c r="B120" t="s">
        <v>204</v>
      </c>
      <c r="C120" t="s">
        <v>736</v>
      </c>
      <c r="D120" t="s">
        <v>762</v>
      </c>
      <c r="E120" t="s">
        <v>164</v>
      </c>
      <c r="F120" t="s">
        <v>885</v>
      </c>
      <c r="G120">
        <v>2021</v>
      </c>
      <c r="H120">
        <v>4</v>
      </c>
      <c r="I120">
        <v>36</v>
      </c>
      <c r="J120">
        <v>2061</v>
      </c>
    </row>
    <row r="121" spans="1:10" x14ac:dyDescent="0.2">
      <c r="A121">
        <v>117</v>
      </c>
      <c r="B121" t="s">
        <v>214</v>
      </c>
      <c r="C121" t="s">
        <v>736</v>
      </c>
      <c r="D121" t="s">
        <v>815</v>
      </c>
      <c r="E121" t="s">
        <v>167</v>
      </c>
      <c r="F121" t="s">
        <v>773</v>
      </c>
      <c r="G121">
        <v>1990</v>
      </c>
      <c r="H121">
        <v>35</v>
      </c>
      <c r="I121">
        <v>5</v>
      </c>
      <c r="J121">
        <v>2030</v>
      </c>
    </row>
    <row r="122" spans="1:10" x14ac:dyDescent="0.2">
      <c r="A122">
        <v>118</v>
      </c>
      <c r="B122" t="s">
        <v>200</v>
      </c>
      <c r="C122" t="s">
        <v>736</v>
      </c>
      <c r="D122" t="s">
        <v>764</v>
      </c>
      <c r="E122" t="s">
        <v>170</v>
      </c>
      <c r="F122" t="s">
        <v>773</v>
      </c>
      <c r="G122">
        <v>2018</v>
      </c>
      <c r="H122">
        <v>7</v>
      </c>
      <c r="I122">
        <v>33</v>
      </c>
      <c r="J122">
        <v>2058</v>
      </c>
    </row>
    <row r="123" spans="1:10" x14ac:dyDescent="0.2">
      <c r="A123">
        <v>119</v>
      </c>
      <c r="B123" t="s">
        <v>214</v>
      </c>
      <c r="C123" t="s">
        <v>736</v>
      </c>
      <c r="D123" t="s">
        <v>750</v>
      </c>
      <c r="E123" t="s">
        <v>164</v>
      </c>
      <c r="F123" t="s">
        <v>177</v>
      </c>
      <c r="G123">
        <v>2004</v>
      </c>
      <c r="H123">
        <v>21</v>
      </c>
      <c r="I123">
        <v>19</v>
      </c>
      <c r="J123">
        <v>2044</v>
      </c>
    </row>
    <row r="124" spans="1:10" x14ac:dyDescent="0.2">
      <c r="A124">
        <v>120</v>
      </c>
      <c r="B124" t="s">
        <v>886</v>
      </c>
      <c r="C124" t="s">
        <v>736</v>
      </c>
      <c r="D124" t="s">
        <v>887</v>
      </c>
      <c r="E124" t="s">
        <v>176</v>
      </c>
      <c r="F124" t="s">
        <v>177</v>
      </c>
      <c r="G124">
        <v>1973</v>
      </c>
      <c r="H124">
        <v>52</v>
      </c>
      <c r="I124">
        <v>-12</v>
      </c>
      <c r="J124">
        <v>2013</v>
      </c>
    </row>
    <row r="125" spans="1:10" x14ac:dyDescent="0.2">
      <c r="A125">
        <v>121</v>
      </c>
      <c r="B125" t="s">
        <v>220</v>
      </c>
      <c r="C125" t="s">
        <v>736</v>
      </c>
      <c r="D125" t="s">
        <v>754</v>
      </c>
      <c r="E125" t="s">
        <v>164</v>
      </c>
      <c r="F125" t="s">
        <v>888</v>
      </c>
      <c r="G125">
        <v>2005</v>
      </c>
      <c r="H125">
        <v>20</v>
      </c>
      <c r="I125">
        <v>20</v>
      </c>
      <c r="J125">
        <v>2045</v>
      </c>
    </row>
    <row r="126" spans="1:10" x14ac:dyDescent="0.2">
      <c r="A126">
        <v>122</v>
      </c>
      <c r="B126" t="s">
        <v>204</v>
      </c>
      <c r="C126" t="s">
        <v>736</v>
      </c>
      <c r="D126" t="s">
        <v>752</v>
      </c>
      <c r="E126" t="s">
        <v>161</v>
      </c>
      <c r="F126" t="s">
        <v>888</v>
      </c>
      <c r="G126">
        <v>1992</v>
      </c>
      <c r="H126">
        <v>33</v>
      </c>
      <c r="I126">
        <v>7</v>
      </c>
      <c r="J126">
        <v>2032</v>
      </c>
    </row>
    <row r="127" spans="1:10" x14ac:dyDescent="0.2">
      <c r="A127">
        <v>123</v>
      </c>
      <c r="B127" t="s">
        <v>200</v>
      </c>
      <c r="C127" t="s">
        <v>736</v>
      </c>
      <c r="D127" t="s">
        <v>754</v>
      </c>
      <c r="E127" t="s">
        <v>164</v>
      </c>
      <c r="F127" t="s">
        <v>888</v>
      </c>
      <c r="G127">
        <v>2005</v>
      </c>
      <c r="H127">
        <v>20</v>
      </c>
      <c r="I127">
        <v>20</v>
      </c>
      <c r="J127">
        <v>2045</v>
      </c>
    </row>
    <row r="128" spans="1:10" x14ac:dyDescent="0.2">
      <c r="A128">
        <v>124</v>
      </c>
      <c r="B128" t="s">
        <v>200</v>
      </c>
      <c r="C128" t="s">
        <v>736</v>
      </c>
      <c r="D128" t="s">
        <v>748</v>
      </c>
      <c r="E128" t="s">
        <v>170</v>
      </c>
      <c r="F128" t="s">
        <v>888</v>
      </c>
      <c r="G128">
        <v>2026</v>
      </c>
      <c r="H128">
        <v>-1</v>
      </c>
      <c r="I128">
        <v>41</v>
      </c>
      <c r="J128">
        <v>2066</v>
      </c>
    </row>
    <row r="129" spans="1:10" x14ac:dyDescent="0.2">
      <c r="A129">
        <v>125</v>
      </c>
      <c r="B129" t="s">
        <v>200</v>
      </c>
      <c r="C129" t="s">
        <v>736</v>
      </c>
      <c r="D129" t="s">
        <v>748</v>
      </c>
      <c r="E129" t="s">
        <v>170</v>
      </c>
      <c r="F129" t="s">
        <v>888</v>
      </c>
      <c r="G129">
        <v>2026</v>
      </c>
      <c r="H129">
        <v>-1</v>
      </c>
      <c r="I129">
        <v>41</v>
      </c>
      <c r="J129">
        <v>2066</v>
      </c>
    </row>
    <row r="130" spans="1:10" x14ac:dyDescent="0.2">
      <c r="A130">
        <v>126</v>
      </c>
      <c r="B130" t="s">
        <v>200</v>
      </c>
      <c r="C130" t="s">
        <v>736</v>
      </c>
      <c r="D130" t="s">
        <v>748</v>
      </c>
      <c r="E130" t="s">
        <v>170</v>
      </c>
      <c r="F130" t="s">
        <v>888</v>
      </c>
      <c r="G130">
        <v>2026</v>
      </c>
      <c r="H130">
        <v>-1</v>
      </c>
      <c r="I130">
        <v>41</v>
      </c>
      <c r="J130">
        <v>2066</v>
      </c>
    </row>
    <row r="131" spans="1:10" x14ac:dyDescent="0.2">
      <c r="A131">
        <v>127</v>
      </c>
      <c r="B131" t="s">
        <v>204</v>
      </c>
      <c r="C131" t="s">
        <v>736</v>
      </c>
      <c r="D131" t="s">
        <v>815</v>
      </c>
      <c r="E131" t="s">
        <v>167</v>
      </c>
      <c r="F131" t="s">
        <v>424</v>
      </c>
      <c r="G131">
        <v>1990</v>
      </c>
      <c r="H131">
        <v>35</v>
      </c>
      <c r="I131">
        <v>5</v>
      </c>
      <c r="J131">
        <v>2030</v>
      </c>
    </row>
    <row r="132" spans="1:10" x14ac:dyDescent="0.2">
      <c r="A132">
        <v>128</v>
      </c>
      <c r="B132" t="s">
        <v>889</v>
      </c>
      <c r="C132" t="s">
        <v>736</v>
      </c>
      <c r="D132" t="s">
        <v>754</v>
      </c>
      <c r="E132" t="s">
        <v>161</v>
      </c>
      <c r="F132" t="s">
        <v>890</v>
      </c>
      <c r="G132">
        <v>2008</v>
      </c>
      <c r="H132">
        <v>17</v>
      </c>
      <c r="I132">
        <v>23</v>
      </c>
      <c r="J132">
        <v>2048</v>
      </c>
    </row>
    <row r="133" spans="1:10" x14ac:dyDescent="0.2">
      <c r="A133">
        <v>129</v>
      </c>
      <c r="B133" t="s">
        <v>891</v>
      </c>
      <c r="C133" t="s">
        <v>736</v>
      </c>
      <c r="D133" t="s">
        <v>855</v>
      </c>
      <c r="E133" t="s">
        <v>161</v>
      </c>
      <c r="F133" t="s">
        <v>890</v>
      </c>
      <c r="G133">
        <v>1990</v>
      </c>
      <c r="H133">
        <v>35</v>
      </c>
      <c r="I133">
        <v>5</v>
      </c>
      <c r="J133">
        <v>2030</v>
      </c>
    </row>
    <row r="134" spans="1:10" x14ac:dyDescent="0.2">
      <c r="A134">
        <v>130</v>
      </c>
      <c r="B134" t="s">
        <v>892</v>
      </c>
      <c r="C134" t="s">
        <v>736</v>
      </c>
      <c r="D134" t="s">
        <v>869</v>
      </c>
      <c r="E134" t="s">
        <v>167</v>
      </c>
      <c r="F134" t="s">
        <v>893</v>
      </c>
      <c r="G134">
        <v>1996</v>
      </c>
      <c r="H134">
        <v>29</v>
      </c>
      <c r="I134">
        <v>11</v>
      </c>
      <c r="J134">
        <v>2036</v>
      </c>
    </row>
    <row r="135" spans="1:10" x14ac:dyDescent="0.2">
      <c r="A135">
        <v>131</v>
      </c>
      <c r="B135" t="s">
        <v>891</v>
      </c>
      <c r="C135" t="s">
        <v>736</v>
      </c>
      <c r="D135" t="s">
        <v>752</v>
      </c>
      <c r="E135" t="s">
        <v>161</v>
      </c>
      <c r="F135" t="s">
        <v>832</v>
      </c>
      <c r="G135">
        <v>1976</v>
      </c>
      <c r="H135">
        <v>49</v>
      </c>
      <c r="I135">
        <v>-9</v>
      </c>
      <c r="J135">
        <v>2016</v>
      </c>
    </row>
    <row r="136" spans="1:10" x14ac:dyDescent="0.2">
      <c r="A136">
        <v>132</v>
      </c>
      <c r="B136" t="s">
        <v>894</v>
      </c>
      <c r="C136" t="s">
        <v>736</v>
      </c>
      <c r="D136" t="s">
        <v>873</v>
      </c>
      <c r="E136" t="s">
        <v>161</v>
      </c>
      <c r="F136" t="s">
        <v>832</v>
      </c>
      <c r="G136">
        <v>1991</v>
      </c>
      <c r="H136">
        <v>34</v>
      </c>
      <c r="I136">
        <v>6</v>
      </c>
      <c r="J136">
        <v>2031</v>
      </c>
    </row>
    <row r="137" spans="1:10" x14ac:dyDescent="0.2">
      <c r="A137">
        <v>133</v>
      </c>
      <c r="B137" t="s">
        <v>220</v>
      </c>
      <c r="C137" t="s">
        <v>736</v>
      </c>
      <c r="D137" t="s">
        <v>750</v>
      </c>
      <c r="E137" t="s">
        <v>164</v>
      </c>
      <c r="F137" t="s">
        <v>895</v>
      </c>
      <c r="G137">
        <v>1991</v>
      </c>
      <c r="H137">
        <v>34</v>
      </c>
      <c r="I137">
        <v>6</v>
      </c>
      <c r="J137">
        <v>2031</v>
      </c>
    </row>
    <row r="138" spans="1:10" x14ac:dyDescent="0.2">
      <c r="A138">
        <v>134</v>
      </c>
      <c r="B138" t="s">
        <v>200</v>
      </c>
      <c r="C138" t="s">
        <v>736</v>
      </c>
      <c r="D138" t="s">
        <v>761</v>
      </c>
      <c r="E138" t="s">
        <v>170</v>
      </c>
      <c r="F138" t="s">
        <v>896</v>
      </c>
      <c r="G138">
        <v>1976</v>
      </c>
      <c r="H138">
        <v>49</v>
      </c>
      <c r="I138">
        <v>-9</v>
      </c>
      <c r="J138">
        <v>2016</v>
      </c>
    </row>
    <row r="139" spans="1:10" x14ac:dyDescent="0.2">
      <c r="A139">
        <v>135</v>
      </c>
      <c r="B139" t="s">
        <v>214</v>
      </c>
      <c r="C139" t="s">
        <v>736</v>
      </c>
      <c r="D139" t="s">
        <v>752</v>
      </c>
      <c r="E139" t="s">
        <v>161</v>
      </c>
      <c r="F139" t="s">
        <v>897</v>
      </c>
      <c r="G139">
        <v>2021</v>
      </c>
      <c r="H139">
        <v>4</v>
      </c>
      <c r="I139">
        <v>36</v>
      </c>
      <c r="J139">
        <v>2061</v>
      </c>
    </row>
    <row r="140" spans="1:10" x14ac:dyDescent="0.2">
      <c r="A140">
        <v>136</v>
      </c>
      <c r="B140" t="s">
        <v>202</v>
      </c>
      <c r="C140" t="s">
        <v>736</v>
      </c>
      <c r="D140" t="s">
        <v>898</v>
      </c>
      <c r="E140" t="s">
        <v>167</v>
      </c>
      <c r="F140" t="s">
        <v>776</v>
      </c>
      <c r="G140">
        <v>1997</v>
      </c>
      <c r="H140">
        <v>28</v>
      </c>
      <c r="I140">
        <v>12</v>
      </c>
      <c r="J140">
        <v>2037</v>
      </c>
    </row>
    <row r="141" spans="1:10" x14ac:dyDescent="0.2">
      <c r="A141">
        <v>137</v>
      </c>
      <c r="B141" t="s">
        <v>899</v>
      </c>
      <c r="C141" t="s">
        <v>736</v>
      </c>
      <c r="D141" t="s">
        <v>873</v>
      </c>
      <c r="E141" t="s">
        <v>161</v>
      </c>
      <c r="F141" t="s">
        <v>776</v>
      </c>
      <c r="G141">
        <v>1980</v>
      </c>
      <c r="H141">
        <v>45</v>
      </c>
      <c r="I141">
        <v>-5</v>
      </c>
      <c r="J141">
        <v>2020</v>
      </c>
    </row>
    <row r="142" spans="1:10" x14ac:dyDescent="0.2">
      <c r="A142">
        <v>138</v>
      </c>
      <c r="B142" t="s">
        <v>200</v>
      </c>
      <c r="C142" t="s">
        <v>736</v>
      </c>
      <c r="D142" t="s">
        <v>900</v>
      </c>
      <c r="E142" t="s">
        <v>161</v>
      </c>
      <c r="F142" t="s">
        <v>901</v>
      </c>
      <c r="G142">
        <v>1993</v>
      </c>
      <c r="H142">
        <v>32</v>
      </c>
      <c r="I142">
        <v>8</v>
      </c>
      <c r="J142">
        <v>2033</v>
      </c>
    </row>
    <row r="143" spans="1:10" x14ac:dyDescent="0.2">
      <c r="A143">
        <v>139</v>
      </c>
      <c r="B143" t="s">
        <v>212</v>
      </c>
      <c r="C143" t="s">
        <v>736</v>
      </c>
      <c r="D143" t="s">
        <v>902</v>
      </c>
      <c r="E143" t="s">
        <v>167</v>
      </c>
      <c r="F143" t="s">
        <v>903</v>
      </c>
      <c r="G143">
        <v>1990</v>
      </c>
      <c r="H143">
        <v>35</v>
      </c>
      <c r="I143">
        <v>5</v>
      </c>
      <c r="J143">
        <v>2030</v>
      </c>
    </row>
    <row r="144" spans="1:10" x14ac:dyDescent="0.2">
      <c r="A144">
        <v>140</v>
      </c>
      <c r="B144" t="s">
        <v>200</v>
      </c>
      <c r="C144" t="s">
        <v>736</v>
      </c>
      <c r="D144" t="s">
        <v>815</v>
      </c>
      <c r="E144" t="s">
        <v>167</v>
      </c>
      <c r="F144" t="s">
        <v>903</v>
      </c>
      <c r="G144">
        <v>1990</v>
      </c>
      <c r="H144">
        <v>35</v>
      </c>
      <c r="I144">
        <v>5</v>
      </c>
      <c r="J144">
        <v>2030</v>
      </c>
    </row>
    <row r="145" spans="1:10" x14ac:dyDescent="0.2">
      <c r="A145">
        <v>141</v>
      </c>
      <c r="B145" t="s">
        <v>865</v>
      </c>
      <c r="C145" t="s">
        <v>736</v>
      </c>
      <c r="D145" t="s">
        <v>754</v>
      </c>
      <c r="E145" t="s">
        <v>161</v>
      </c>
      <c r="F145" t="s">
        <v>903</v>
      </c>
      <c r="G145">
        <v>1979</v>
      </c>
      <c r="H145">
        <v>46</v>
      </c>
      <c r="I145">
        <v>-6</v>
      </c>
      <c r="J145">
        <v>2019</v>
      </c>
    </row>
    <row r="146" spans="1:10" x14ac:dyDescent="0.2">
      <c r="A146">
        <v>142</v>
      </c>
      <c r="B146" t="s">
        <v>204</v>
      </c>
      <c r="C146" t="s">
        <v>736</v>
      </c>
      <c r="D146" t="s">
        <v>748</v>
      </c>
      <c r="E146" t="s">
        <v>170</v>
      </c>
      <c r="F146" t="s">
        <v>903</v>
      </c>
      <c r="G146">
        <v>2026</v>
      </c>
      <c r="H146">
        <v>-1</v>
      </c>
      <c r="I146">
        <v>41</v>
      </c>
      <c r="J146">
        <v>2066</v>
      </c>
    </row>
    <row r="147" spans="1:10" x14ac:dyDescent="0.2">
      <c r="A147">
        <v>143</v>
      </c>
      <c r="B147" t="s">
        <v>204</v>
      </c>
      <c r="C147" t="s">
        <v>736</v>
      </c>
      <c r="D147" t="s">
        <v>748</v>
      </c>
      <c r="E147" t="s">
        <v>170</v>
      </c>
      <c r="F147" t="s">
        <v>903</v>
      </c>
      <c r="G147">
        <v>2026</v>
      </c>
      <c r="H147">
        <v>-1</v>
      </c>
      <c r="I147">
        <v>41</v>
      </c>
      <c r="J147">
        <v>2066</v>
      </c>
    </row>
    <row r="148" spans="1:10" x14ac:dyDescent="0.2">
      <c r="A148">
        <v>144</v>
      </c>
      <c r="B148" t="s">
        <v>204</v>
      </c>
      <c r="C148" t="s">
        <v>736</v>
      </c>
      <c r="D148" t="s">
        <v>748</v>
      </c>
      <c r="E148" t="s">
        <v>170</v>
      </c>
      <c r="F148" t="s">
        <v>903</v>
      </c>
      <c r="G148">
        <v>2026</v>
      </c>
      <c r="H148">
        <v>-1</v>
      </c>
      <c r="I148">
        <v>41</v>
      </c>
      <c r="J148">
        <v>2066</v>
      </c>
    </row>
    <row r="149" spans="1:10" x14ac:dyDescent="0.2">
      <c r="A149">
        <v>145</v>
      </c>
      <c r="B149" t="s">
        <v>210</v>
      </c>
      <c r="C149" t="s">
        <v>736</v>
      </c>
      <c r="D149" t="s">
        <v>855</v>
      </c>
      <c r="E149" t="s">
        <v>167</v>
      </c>
      <c r="F149" t="s">
        <v>904</v>
      </c>
      <c r="G149">
        <v>1991</v>
      </c>
      <c r="H149">
        <v>34</v>
      </c>
      <c r="I149">
        <v>6</v>
      </c>
      <c r="J149">
        <v>2031</v>
      </c>
    </row>
    <row r="150" spans="1:10" x14ac:dyDescent="0.2">
      <c r="A150">
        <v>146</v>
      </c>
      <c r="B150" t="s">
        <v>200</v>
      </c>
      <c r="C150" t="s">
        <v>736</v>
      </c>
      <c r="D150" t="s">
        <v>762</v>
      </c>
      <c r="E150" t="s">
        <v>164</v>
      </c>
      <c r="F150" t="s">
        <v>905</v>
      </c>
      <c r="G150">
        <v>2021</v>
      </c>
      <c r="H150">
        <v>4</v>
      </c>
      <c r="I150">
        <v>36</v>
      </c>
      <c r="J150">
        <v>2061</v>
      </c>
    </row>
    <row r="151" spans="1:10" x14ac:dyDescent="0.2">
      <c r="A151">
        <v>147</v>
      </c>
      <c r="B151" t="s">
        <v>204</v>
      </c>
      <c r="C151" t="s">
        <v>736</v>
      </c>
      <c r="D151" t="s">
        <v>754</v>
      </c>
      <c r="E151" t="s">
        <v>161</v>
      </c>
      <c r="F151" t="s">
        <v>835</v>
      </c>
      <c r="G151">
        <v>1992</v>
      </c>
      <c r="H151">
        <v>33</v>
      </c>
      <c r="I151">
        <v>7</v>
      </c>
      <c r="J151">
        <v>2032</v>
      </c>
    </row>
    <row r="152" spans="1:10" x14ac:dyDescent="0.2">
      <c r="A152">
        <v>148</v>
      </c>
      <c r="B152" t="s">
        <v>872</v>
      </c>
      <c r="C152" t="s">
        <v>736</v>
      </c>
      <c r="D152" t="s">
        <v>752</v>
      </c>
      <c r="E152" t="s">
        <v>164</v>
      </c>
      <c r="F152" t="s">
        <v>835</v>
      </c>
      <c r="G152">
        <v>2013</v>
      </c>
      <c r="H152">
        <v>12</v>
      </c>
      <c r="I152">
        <v>28</v>
      </c>
      <c r="J152">
        <v>2053</v>
      </c>
    </row>
    <row r="153" spans="1:10" x14ac:dyDescent="0.2">
      <c r="A153">
        <v>149</v>
      </c>
      <c r="B153" t="s">
        <v>212</v>
      </c>
      <c r="C153" t="s">
        <v>736</v>
      </c>
      <c r="D153" t="s">
        <v>777</v>
      </c>
      <c r="E153" t="s">
        <v>161</v>
      </c>
      <c r="F153" t="s">
        <v>906</v>
      </c>
      <c r="G153">
        <v>1986</v>
      </c>
      <c r="H153">
        <v>39</v>
      </c>
      <c r="I153">
        <v>1</v>
      </c>
      <c r="J153">
        <v>2026</v>
      </c>
    </row>
    <row r="154" spans="1:10" x14ac:dyDescent="0.2">
      <c r="A154">
        <v>150</v>
      </c>
      <c r="B154" t="s">
        <v>212</v>
      </c>
      <c r="C154" t="s">
        <v>736</v>
      </c>
      <c r="D154" t="s">
        <v>754</v>
      </c>
      <c r="E154" t="s">
        <v>164</v>
      </c>
      <c r="F154" t="s">
        <v>836</v>
      </c>
      <c r="G154">
        <v>2005</v>
      </c>
      <c r="H154">
        <v>20</v>
      </c>
      <c r="I154">
        <v>20</v>
      </c>
      <c r="J154">
        <v>2045</v>
      </c>
    </row>
    <row r="155" spans="1:10" x14ac:dyDescent="0.2">
      <c r="A155">
        <v>151</v>
      </c>
      <c r="B155" t="s">
        <v>872</v>
      </c>
      <c r="C155" t="s">
        <v>736</v>
      </c>
      <c r="D155" t="s">
        <v>752</v>
      </c>
      <c r="E155" t="s">
        <v>161</v>
      </c>
      <c r="F155" t="s">
        <v>836</v>
      </c>
      <c r="G155">
        <v>2005</v>
      </c>
      <c r="H155">
        <v>20</v>
      </c>
      <c r="I155">
        <v>20</v>
      </c>
      <c r="J155">
        <v>2045</v>
      </c>
    </row>
    <row r="156" spans="1:10" x14ac:dyDescent="0.2">
      <c r="A156">
        <v>152</v>
      </c>
      <c r="B156" t="s">
        <v>886</v>
      </c>
      <c r="C156" t="s">
        <v>736</v>
      </c>
      <c r="D156" t="s">
        <v>873</v>
      </c>
      <c r="E156" t="s">
        <v>161</v>
      </c>
      <c r="F156" t="s">
        <v>837</v>
      </c>
      <c r="G156">
        <v>2019</v>
      </c>
      <c r="H156">
        <v>6</v>
      </c>
      <c r="I156">
        <v>34</v>
      </c>
      <c r="J156">
        <v>2059</v>
      </c>
    </row>
    <row r="157" spans="1:10" x14ac:dyDescent="0.2">
      <c r="A157">
        <v>153</v>
      </c>
      <c r="B157" t="s">
        <v>220</v>
      </c>
      <c r="C157" t="s">
        <v>736</v>
      </c>
      <c r="D157" t="s">
        <v>855</v>
      </c>
      <c r="E157" t="s">
        <v>161</v>
      </c>
      <c r="F157" t="s">
        <v>907</v>
      </c>
      <c r="G157">
        <v>1979</v>
      </c>
      <c r="H157">
        <v>46</v>
      </c>
      <c r="I157">
        <v>-6</v>
      </c>
      <c r="J157">
        <v>2019</v>
      </c>
    </row>
    <row r="158" spans="1:10" x14ac:dyDescent="0.2">
      <c r="A158">
        <v>154</v>
      </c>
      <c r="B158" t="s">
        <v>891</v>
      </c>
      <c r="C158" t="s">
        <v>736</v>
      </c>
      <c r="D158" t="s">
        <v>855</v>
      </c>
      <c r="E158" t="s">
        <v>167</v>
      </c>
      <c r="F158" t="s">
        <v>183</v>
      </c>
      <c r="G158">
        <v>2066</v>
      </c>
      <c r="H158">
        <v>-41</v>
      </c>
      <c r="I158">
        <v>81</v>
      </c>
      <c r="J158">
        <v>2106</v>
      </c>
    </row>
    <row r="159" spans="1:10" x14ac:dyDescent="0.2">
      <c r="A159">
        <v>155</v>
      </c>
      <c r="B159" t="s">
        <v>894</v>
      </c>
      <c r="C159" t="s">
        <v>736</v>
      </c>
      <c r="D159" t="s">
        <v>752</v>
      </c>
      <c r="E159" t="s">
        <v>161</v>
      </c>
      <c r="F159" t="s">
        <v>183</v>
      </c>
      <c r="G159">
        <v>2005</v>
      </c>
      <c r="H159">
        <v>20</v>
      </c>
      <c r="I159">
        <v>20</v>
      </c>
      <c r="J159">
        <v>2045</v>
      </c>
    </row>
    <row r="160" spans="1:10" x14ac:dyDescent="0.2">
      <c r="A160">
        <v>156</v>
      </c>
      <c r="B160" t="s">
        <v>908</v>
      </c>
      <c r="C160" t="s">
        <v>736</v>
      </c>
      <c r="D160" t="s">
        <v>909</v>
      </c>
      <c r="E160" t="s">
        <v>161</v>
      </c>
      <c r="F160" t="s">
        <v>910</v>
      </c>
      <c r="G160">
        <v>1987</v>
      </c>
      <c r="H160">
        <v>38</v>
      </c>
      <c r="I160">
        <v>2</v>
      </c>
      <c r="J160">
        <v>2027</v>
      </c>
    </row>
    <row r="161" spans="1:10" x14ac:dyDescent="0.2">
      <c r="A161">
        <v>157</v>
      </c>
      <c r="B161" t="s">
        <v>220</v>
      </c>
      <c r="C161" t="s">
        <v>736</v>
      </c>
      <c r="D161" t="s">
        <v>762</v>
      </c>
      <c r="E161" t="s">
        <v>164</v>
      </c>
      <c r="F161" t="s">
        <v>781</v>
      </c>
      <c r="G161">
        <v>2021</v>
      </c>
      <c r="H161">
        <v>4</v>
      </c>
      <c r="I161">
        <v>36</v>
      </c>
      <c r="J161">
        <v>2061</v>
      </c>
    </row>
    <row r="162" spans="1:10" x14ac:dyDescent="0.2">
      <c r="A162">
        <v>158</v>
      </c>
      <c r="B162" t="s">
        <v>911</v>
      </c>
      <c r="C162" t="s">
        <v>736</v>
      </c>
      <c r="D162" t="s">
        <v>912</v>
      </c>
      <c r="E162" t="s">
        <v>167</v>
      </c>
      <c r="F162" t="s">
        <v>913</v>
      </c>
      <c r="G162">
        <v>1990</v>
      </c>
      <c r="H162">
        <v>35</v>
      </c>
      <c r="I162">
        <v>5</v>
      </c>
      <c r="J162">
        <v>2030</v>
      </c>
    </row>
    <row r="163" spans="1:10" x14ac:dyDescent="0.2">
      <c r="A163">
        <v>159</v>
      </c>
      <c r="B163" t="s">
        <v>218</v>
      </c>
      <c r="C163" t="s">
        <v>736</v>
      </c>
      <c r="D163" t="s">
        <v>790</v>
      </c>
      <c r="E163" t="s">
        <v>167</v>
      </c>
      <c r="F163" t="s">
        <v>914</v>
      </c>
      <c r="G163">
        <v>1973</v>
      </c>
      <c r="H163">
        <v>52</v>
      </c>
      <c r="I163">
        <v>-12</v>
      </c>
      <c r="J163">
        <v>2013</v>
      </c>
    </row>
    <row r="164" spans="1:10" x14ac:dyDescent="0.2">
      <c r="A164">
        <v>160</v>
      </c>
      <c r="B164" t="s">
        <v>879</v>
      </c>
      <c r="C164" t="s">
        <v>736</v>
      </c>
      <c r="D164" t="s">
        <v>780</v>
      </c>
      <c r="E164" t="s">
        <v>167</v>
      </c>
      <c r="F164" t="s">
        <v>914</v>
      </c>
      <c r="G164">
        <v>1997</v>
      </c>
      <c r="H164">
        <v>28</v>
      </c>
      <c r="I164">
        <v>12</v>
      </c>
      <c r="J164">
        <v>2037</v>
      </c>
    </row>
    <row r="165" spans="1:10" x14ac:dyDescent="0.2">
      <c r="A165">
        <v>161</v>
      </c>
      <c r="B165" t="s">
        <v>214</v>
      </c>
      <c r="C165" t="s">
        <v>736</v>
      </c>
      <c r="D165" t="s">
        <v>855</v>
      </c>
      <c r="E165" t="s">
        <v>161</v>
      </c>
      <c r="F165" t="s">
        <v>915</v>
      </c>
      <c r="G165">
        <v>1986</v>
      </c>
      <c r="H165">
        <v>39</v>
      </c>
      <c r="I165">
        <v>1</v>
      </c>
      <c r="J165">
        <v>2026</v>
      </c>
    </row>
    <row r="166" spans="1:10" x14ac:dyDescent="0.2">
      <c r="A166">
        <v>162</v>
      </c>
      <c r="B166" t="s">
        <v>220</v>
      </c>
      <c r="C166" t="s">
        <v>736</v>
      </c>
      <c r="D166" t="s">
        <v>752</v>
      </c>
      <c r="E166" t="s">
        <v>164</v>
      </c>
      <c r="F166" t="s">
        <v>838</v>
      </c>
      <c r="G166">
        <v>2006</v>
      </c>
      <c r="H166">
        <v>19</v>
      </c>
      <c r="I166">
        <v>21</v>
      </c>
      <c r="J166">
        <v>2046</v>
      </c>
    </row>
    <row r="167" spans="1:10" x14ac:dyDescent="0.2">
      <c r="A167">
        <v>163</v>
      </c>
      <c r="B167" t="s">
        <v>218</v>
      </c>
      <c r="C167" t="s">
        <v>736</v>
      </c>
      <c r="D167" t="s">
        <v>916</v>
      </c>
      <c r="E167" t="s">
        <v>167</v>
      </c>
      <c r="F167" t="s">
        <v>917</v>
      </c>
      <c r="G167">
        <v>1990</v>
      </c>
      <c r="H167">
        <v>35</v>
      </c>
      <c r="I167">
        <v>5</v>
      </c>
      <c r="J167">
        <v>2030</v>
      </c>
    </row>
    <row r="168" spans="1:10" x14ac:dyDescent="0.2">
      <c r="A168">
        <v>164</v>
      </c>
      <c r="B168" t="s">
        <v>918</v>
      </c>
      <c r="C168" t="s">
        <v>736</v>
      </c>
      <c r="D168" t="s">
        <v>790</v>
      </c>
      <c r="E168" t="s">
        <v>161</v>
      </c>
      <c r="F168" t="s">
        <v>919</v>
      </c>
      <c r="G168">
        <v>1980</v>
      </c>
      <c r="H168">
        <v>45</v>
      </c>
      <c r="I168">
        <v>-5</v>
      </c>
      <c r="J168">
        <v>2020</v>
      </c>
    </row>
    <row r="169" spans="1:10" x14ac:dyDescent="0.2">
      <c r="A169">
        <v>165</v>
      </c>
      <c r="B169" t="s">
        <v>920</v>
      </c>
      <c r="C169" t="s">
        <v>736</v>
      </c>
      <c r="D169" t="s">
        <v>783</v>
      </c>
      <c r="E169" t="s">
        <v>167</v>
      </c>
      <c r="F169" t="s">
        <v>839</v>
      </c>
      <c r="G169">
        <v>1974</v>
      </c>
      <c r="H169">
        <v>51</v>
      </c>
      <c r="I169">
        <v>-11</v>
      </c>
      <c r="J169">
        <v>2014</v>
      </c>
    </row>
    <row r="170" spans="1:10" x14ac:dyDescent="0.2">
      <c r="A170">
        <v>166</v>
      </c>
      <c r="B170" t="s">
        <v>921</v>
      </c>
      <c r="C170" t="s">
        <v>736</v>
      </c>
      <c r="D170" t="s">
        <v>916</v>
      </c>
      <c r="E170" t="s">
        <v>167</v>
      </c>
      <c r="F170" t="s">
        <v>458</v>
      </c>
      <c r="G170">
        <v>1985</v>
      </c>
      <c r="H170">
        <v>40</v>
      </c>
      <c r="I170">
        <v>0</v>
      </c>
      <c r="J170">
        <v>2025</v>
      </c>
    </row>
    <row r="171" spans="1:10" x14ac:dyDescent="0.2">
      <c r="A171">
        <v>167</v>
      </c>
      <c r="B171" t="s">
        <v>921</v>
      </c>
      <c r="C171" t="s">
        <v>736</v>
      </c>
      <c r="D171" t="s">
        <v>790</v>
      </c>
      <c r="E171" t="s">
        <v>167</v>
      </c>
      <c r="F171" t="s">
        <v>922</v>
      </c>
      <c r="G171">
        <v>1973</v>
      </c>
      <c r="H171">
        <v>52</v>
      </c>
      <c r="I171">
        <v>-12</v>
      </c>
      <c r="J171">
        <v>2013</v>
      </c>
    </row>
    <row r="172" spans="1:10" x14ac:dyDescent="0.2">
      <c r="A172">
        <v>168</v>
      </c>
      <c r="B172" t="s">
        <v>866</v>
      </c>
      <c r="C172" t="s">
        <v>736</v>
      </c>
      <c r="D172" t="s">
        <v>855</v>
      </c>
      <c r="E172" t="s">
        <v>167</v>
      </c>
      <c r="F172" t="s">
        <v>290</v>
      </c>
      <c r="G172">
        <v>1972</v>
      </c>
      <c r="H172">
        <v>53</v>
      </c>
      <c r="I172">
        <v>-13</v>
      </c>
      <c r="J172">
        <v>2012</v>
      </c>
    </row>
    <row r="173" spans="1:10" x14ac:dyDescent="0.2">
      <c r="A173">
        <v>169</v>
      </c>
      <c r="B173" t="s">
        <v>923</v>
      </c>
      <c r="C173" t="s">
        <v>736</v>
      </c>
      <c r="D173" t="s">
        <v>924</v>
      </c>
      <c r="E173" t="s">
        <v>161</v>
      </c>
      <c r="F173" t="s">
        <v>925</v>
      </c>
      <c r="G173">
        <v>2001</v>
      </c>
      <c r="H173">
        <v>24</v>
      </c>
      <c r="I173">
        <v>16</v>
      </c>
      <c r="J173">
        <v>2041</v>
      </c>
    </row>
    <row r="174" spans="1:10" x14ac:dyDescent="0.2">
      <c r="A174">
        <v>170</v>
      </c>
      <c r="B174" t="s">
        <v>876</v>
      </c>
      <c r="C174" t="s">
        <v>736</v>
      </c>
      <c r="D174" t="s">
        <v>926</v>
      </c>
      <c r="E174" t="s">
        <v>161</v>
      </c>
      <c r="F174" t="s">
        <v>927</v>
      </c>
      <c r="G174">
        <v>1992</v>
      </c>
      <c r="H174">
        <v>33</v>
      </c>
      <c r="I174">
        <v>7</v>
      </c>
      <c r="J174">
        <v>2032</v>
      </c>
    </row>
    <row r="175" spans="1:10" x14ac:dyDescent="0.2">
      <c r="A175">
        <v>171</v>
      </c>
      <c r="B175" t="s">
        <v>891</v>
      </c>
      <c r="C175" t="s">
        <v>736</v>
      </c>
      <c r="D175" t="s">
        <v>752</v>
      </c>
      <c r="E175" t="s">
        <v>164</v>
      </c>
      <c r="F175" t="s">
        <v>840</v>
      </c>
      <c r="G175">
        <v>1998</v>
      </c>
      <c r="H175">
        <v>27</v>
      </c>
      <c r="I175">
        <v>13</v>
      </c>
      <c r="J175">
        <v>2038</v>
      </c>
    </row>
    <row r="176" spans="1:10" x14ac:dyDescent="0.2">
      <c r="A176">
        <v>172</v>
      </c>
      <c r="B176" t="s">
        <v>866</v>
      </c>
      <c r="C176" t="s">
        <v>736</v>
      </c>
      <c r="D176" t="s">
        <v>752</v>
      </c>
      <c r="E176" t="s">
        <v>164</v>
      </c>
      <c r="F176" t="s">
        <v>928</v>
      </c>
      <c r="G176">
        <v>1997</v>
      </c>
      <c r="H176">
        <v>28</v>
      </c>
      <c r="I176">
        <v>12</v>
      </c>
      <c r="J176">
        <v>2037</v>
      </c>
    </row>
    <row r="177" spans="1:10" x14ac:dyDescent="0.2">
      <c r="A177">
        <v>173</v>
      </c>
      <c r="B177" t="s">
        <v>899</v>
      </c>
      <c r="C177" t="s">
        <v>736</v>
      </c>
      <c r="D177" t="s">
        <v>752</v>
      </c>
      <c r="E177" t="s">
        <v>164</v>
      </c>
      <c r="F177" t="s">
        <v>929</v>
      </c>
      <c r="G177">
        <v>2013</v>
      </c>
      <c r="H177">
        <v>12</v>
      </c>
      <c r="I177">
        <v>28</v>
      </c>
      <c r="J177">
        <v>2053</v>
      </c>
    </row>
    <row r="178" spans="1:10" x14ac:dyDescent="0.2">
      <c r="A178">
        <v>174</v>
      </c>
      <c r="B178" t="s">
        <v>918</v>
      </c>
      <c r="C178" t="s">
        <v>736</v>
      </c>
      <c r="D178" t="s">
        <v>752</v>
      </c>
      <c r="E178" t="s">
        <v>164</v>
      </c>
      <c r="F178" t="s">
        <v>842</v>
      </c>
      <c r="G178">
        <v>1996</v>
      </c>
      <c r="H178">
        <v>29</v>
      </c>
      <c r="I178">
        <v>11</v>
      </c>
      <c r="J178">
        <v>2036</v>
      </c>
    </row>
    <row r="179" spans="1:10" x14ac:dyDescent="0.2">
      <c r="A179">
        <v>175</v>
      </c>
      <c r="B179" t="s">
        <v>911</v>
      </c>
      <c r="C179" t="s">
        <v>736</v>
      </c>
      <c r="D179" t="s">
        <v>930</v>
      </c>
      <c r="E179" t="s">
        <v>167</v>
      </c>
      <c r="F179" t="s">
        <v>842</v>
      </c>
      <c r="G179">
        <v>1988</v>
      </c>
      <c r="H179">
        <v>37</v>
      </c>
      <c r="I179">
        <v>3</v>
      </c>
      <c r="J179">
        <v>2028</v>
      </c>
    </row>
    <row r="180" spans="1:10" x14ac:dyDescent="0.2">
      <c r="A180">
        <v>176</v>
      </c>
      <c r="B180" t="s">
        <v>865</v>
      </c>
      <c r="C180" t="s">
        <v>736</v>
      </c>
      <c r="D180" t="s">
        <v>750</v>
      </c>
      <c r="E180" t="s">
        <v>164</v>
      </c>
      <c r="F180" t="s">
        <v>931</v>
      </c>
      <c r="G180">
        <v>1991</v>
      </c>
      <c r="H180">
        <v>34</v>
      </c>
      <c r="I180">
        <v>6</v>
      </c>
      <c r="J180">
        <v>2031</v>
      </c>
    </row>
    <row r="181" spans="1:10" x14ac:dyDescent="0.2">
      <c r="A181">
        <v>177</v>
      </c>
      <c r="B181" t="s">
        <v>204</v>
      </c>
      <c r="C181" t="s">
        <v>736</v>
      </c>
      <c r="D181" t="s">
        <v>761</v>
      </c>
      <c r="E181" t="s">
        <v>170</v>
      </c>
      <c r="F181" t="s">
        <v>843</v>
      </c>
      <c r="G181">
        <v>1976</v>
      </c>
      <c r="H181">
        <v>49</v>
      </c>
      <c r="I181">
        <v>-9</v>
      </c>
      <c r="J181">
        <v>2016</v>
      </c>
    </row>
    <row r="182" spans="1:10" x14ac:dyDescent="0.2">
      <c r="A182">
        <v>178</v>
      </c>
      <c r="B182" t="s">
        <v>932</v>
      </c>
      <c r="C182" t="s">
        <v>736</v>
      </c>
      <c r="D182" t="s">
        <v>933</v>
      </c>
      <c r="E182" t="s">
        <v>167</v>
      </c>
      <c r="F182" t="s">
        <v>843</v>
      </c>
      <c r="G182">
        <v>1972</v>
      </c>
      <c r="H182">
        <v>53</v>
      </c>
      <c r="I182">
        <v>-13</v>
      </c>
      <c r="J182">
        <v>2012</v>
      </c>
    </row>
    <row r="183" spans="1:10" x14ac:dyDescent="0.2">
      <c r="A183">
        <v>179</v>
      </c>
      <c r="B183" t="s">
        <v>899</v>
      </c>
      <c r="C183" t="s">
        <v>736</v>
      </c>
      <c r="D183" t="s">
        <v>752</v>
      </c>
      <c r="E183" t="s">
        <v>161</v>
      </c>
      <c r="F183" t="s">
        <v>843</v>
      </c>
      <c r="G183">
        <v>2005</v>
      </c>
      <c r="H183">
        <v>20</v>
      </c>
      <c r="I183">
        <v>20</v>
      </c>
      <c r="J183">
        <v>2045</v>
      </c>
    </row>
    <row r="184" spans="1:10" x14ac:dyDescent="0.2">
      <c r="A184">
        <v>180</v>
      </c>
      <c r="B184" t="s">
        <v>860</v>
      </c>
      <c r="C184" t="s">
        <v>736</v>
      </c>
      <c r="D184" t="s">
        <v>752</v>
      </c>
      <c r="E184" t="s">
        <v>161</v>
      </c>
      <c r="F184" t="s">
        <v>934</v>
      </c>
      <c r="G184">
        <v>2008</v>
      </c>
      <c r="H184">
        <v>17</v>
      </c>
      <c r="I184">
        <v>23</v>
      </c>
      <c r="J184">
        <v>2048</v>
      </c>
    </row>
    <row r="185" spans="1:10" x14ac:dyDescent="0.2">
      <c r="A185">
        <v>181</v>
      </c>
      <c r="B185" t="s">
        <v>865</v>
      </c>
      <c r="C185" t="s">
        <v>736</v>
      </c>
      <c r="D185" t="s">
        <v>761</v>
      </c>
      <c r="E185" t="s">
        <v>167</v>
      </c>
      <c r="F185" t="s">
        <v>782</v>
      </c>
      <c r="G185">
        <v>2014</v>
      </c>
      <c r="H185">
        <v>11</v>
      </c>
      <c r="I185">
        <v>29</v>
      </c>
      <c r="J185">
        <v>2054</v>
      </c>
    </row>
    <row r="186" spans="1:10" x14ac:dyDescent="0.2">
      <c r="A186">
        <v>182</v>
      </c>
      <c r="B186" t="s">
        <v>935</v>
      </c>
      <c r="C186" t="s">
        <v>736</v>
      </c>
      <c r="D186" t="s">
        <v>936</v>
      </c>
      <c r="E186" t="s">
        <v>161</v>
      </c>
      <c r="F186" t="s">
        <v>937</v>
      </c>
      <c r="G186">
        <v>1996</v>
      </c>
      <c r="H186">
        <v>29</v>
      </c>
      <c r="I186">
        <v>11</v>
      </c>
      <c r="J186">
        <v>2036</v>
      </c>
    </row>
    <row r="187" spans="1:10" x14ac:dyDescent="0.2">
      <c r="A187">
        <v>183</v>
      </c>
      <c r="B187" t="s">
        <v>938</v>
      </c>
      <c r="C187" t="s">
        <v>736</v>
      </c>
      <c r="D187" t="s">
        <v>790</v>
      </c>
      <c r="E187" t="s">
        <v>167</v>
      </c>
      <c r="F187" t="s">
        <v>939</v>
      </c>
      <c r="G187">
        <v>1973</v>
      </c>
      <c r="H187">
        <v>52</v>
      </c>
      <c r="I187">
        <v>-12</v>
      </c>
      <c r="J187">
        <v>2013</v>
      </c>
    </row>
    <row r="188" spans="1:10" x14ac:dyDescent="0.2">
      <c r="A188">
        <v>184</v>
      </c>
      <c r="B188" t="s">
        <v>220</v>
      </c>
      <c r="C188" t="s">
        <v>736</v>
      </c>
      <c r="D188" t="s">
        <v>752</v>
      </c>
      <c r="E188" t="s">
        <v>161</v>
      </c>
      <c r="F188" t="s">
        <v>189</v>
      </c>
      <c r="G188">
        <v>1990</v>
      </c>
      <c r="H188">
        <v>35</v>
      </c>
      <c r="I188">
        <v>5</v>
      </c>
      <c r="J188">
        <v>2030</v>
      </c>
    </row>
    <row r="189" spans="1:10" x14ac:dyDescent="0.2">
      <c r="A189">
        <v>185</v>
      </c>
      <c r="B189" t="s">
        <v>214</v>
      </c>
      <c r="C189" t="s">
        <v>736</v>
      </c>
      <c r="D189" t="s">
        <v>940</v>
      </c>
      <c r="E189" t="s">
        <v>167</v>
      </c>
      <c r="F189" t="s">
        <v>189</v>
      </c>
      <c r="G189">
        <v>2015</v>
      </c>
      <c r="H189">
        <v>10</v>
      </c>
      <c r="I189">
        <v>30</v>
      </c>
      <c r="J189">
        <v>2055</v>
      </c>
    </row>
    <row r="190" spans="1:10" x14ac:dyDescent="0.2">
      <c r="A190">
        <v>186</v>
      </c>
      <c r="B190" t="s">
        <v>204</v>
      </c>
      <c r="C190" t="s">
        <v>736</v>
      </c>
      <c r="D190" t="s">
        <v>750</v>
      </c>
      <c r="E190" t="s">
        <v>164</v>
      </c>
      <c r="F190" t="s">
        <v>189</v>
      </c>
      <c r="G190">
        <v>1991</v>
      </c>
      <c r="H190">
        <v>34</v>
      </c>
      <c r="I190">
        <v>6</v>
      </c>
      <c r="J190">
        <v>2031</v>
      </c>
    </row>
    <row r="191" spans="1:10" x14ac:dyDescent="0.2">
      <c r="A191">
        <v>187</v>
      </c>
      <c r="B191" t="s">
        <v>200</v>
      </c>
      <c r="C191" t="s">
        <v>736</v>
      </c>
      <c r="D191" t="s">
        <v>754</v>
      </c>
      <c r="E191" t="s">
        <v>161</v>
      </c>
      <c r="F191" t="s">
        <v>189</v>
      </c>
      <c r="G191">
        <v>1979</v>
      </c>
      <c r="H191">
        <v>46</v>
      </c>
      <c r="I191">
        <v>-6</v>
      </c>
      <c r="J191">
        <v>2019</v>
      </c>
    </row>
    <row r="192" spans="1:10" x14ac:dyDescent="0.2">
      <c r="A192">
        <v>188</v>
      </c>
      <c r="B192" t="s">
        <v>941</v>
      </c>
      <c r="C192" t="s">
        <v>736</v>
      </c>
      <c r="D192" t="s">
        <v>942</v>
      </c>
      <c r="E192" t="s">
        <v>167</v>
      </c>
      <c r="F192" t="s">
        <v>189</v>
      </c>
      <c r="G192">
        <v>1973</v>
      </c>
      <c r="H192">
        <v>52</v>
      </c>
      <c r="I192">
        <v>-12</v>
      </c>
      <c r="J192">
        <v>2013</v>
      </c>
    </row>
    <row r="193" spans="1:10" x14ac:dyDescent="0.2">
      <c r="A193">
        <v>189</v>
      </c>
      <c r="B193" t="s">
        <v>894</v>
      </c>
      <c r="C193" t="s">
        <v>736</v>
      </c>
      <c r="D193" t="s">
        <v>943</v>
      </c>
      <c r="E193" t="s">
        <v>182</v>
      </c>
      <c r="F193" t="s">
        <v>189</v>
      </c>
      <c r="G193">
        <v>2012</v>
      </c>
      <c r="H193">
        <v>13</v>
      </c>
      <c r="I193">
        <v>27</v>
      </c>
      <c r="J193">
        <v>2052</v>
      </c>
    </row>
    <row r="194" spans="1:10" x14ac:dyDescent="0.2">
      <c r="A194">
        <v>190</v>
      </c>
      <c r="B194" t="s">
        <v>889</v>
      </c>
      <c r="C194" t="s">
        <v>736</v>
      </c>
      <c r="D194" t="s">
        <v>752</v>
      </c>
      <c r="E194" t="s">
        <v>161</v>
      </c>
      <c r="F194" t="s">
        <v>419</v>
      </c>
      <c r="G194">
        <v>2001</v>
      </c>
      <c r="H194">
        <v>24</v>
      </c>
      <c r="I194">
        <v>16</v>
      </c>
      <c r="J194">
        <v>2041</v>
      </c>
    </row>
    <row r="195" spans="1:10" x14ac:dyDescent="0.2">
      <c r="A195">
        <v>191</v>
      </c>
      <c r="B195" t="s">
        <v>935</v>
      </c>
      <c r="C195" t="s">
        <v>736</v>
      </c>
      <c r="D195" t="s">
        <v>944</v>
      </c>
      <c r="E195" t="s">
        <v>161</v>
      </c>
      <c r="F195" t="s">
        <v>419</v>
      </c>
      <c r="G195">
        <v>1979</v>
      </c>
      <c r="H195">
        <v>46</v>
      </c>
      <c r="I195">
        <v>-6</v>
      </c>
      <c r="J195">
        <v>2019</v>
      </c>
    </row>
    <row r="196" spans="1:10" x14ac:dyDescent="0.2">
      <c r="A196">
        <v>192</v>
      </c>
      <c r="B196" t="s">
        <v>894</v>
      </c>
      <c r="C196" t="s">
        <v>736</v>
      </c>
      <c r="D196" t="s">
        <v>752</v>
      </c>
      <c r="E196" t="s">
        <v>164</v>
      </c>
      <c r="F196" t="s">
        <v>945</v>
      </c>
      <c r="G196">
        <v>2013</v>
      </c>
      <c r="H196">
        <v>12</v>
      </c>
      <c r="I196">
        <v>28</v>
      </c>
      <c r="J196">
        <v>2053</v>
      </c>
    </row>
    <row r="197" spans="1:10" x14ac:dyDescent="0.2">
      <c r="A197">
        <v>193</v>
      </c>
      <c r="B197" t="s">
        <v>946</v>
      </c>
      <c r="C197" t="s">
        <v>736</v>
      </c>
      <c r="D197" t="s">
        <v>947</v>
      </c>
      <c r="E197" t="s">
        <v>167</v>
      </c>
      <c r="F197" t="s">
        <v>788</v>
      </c>
      <c r="G197">
        <v>1989</v>
      </c>
      <c r="H197">
        <v>36</v>
      </c>
      <c r="I197">
        <v>4</v>
      </c>
      <c r="J197">
        <v>2029</v>
      </c>
    </row>
    <row r="198" spans="1:10" x14ac:dyDescent="0.2">
      <c r="A198">
        <v>194</v>
      </c>
      <c r="B198" t="s">
        <v>948</v>
      </c>
      <c r="C198" t="s">
        <v>736</v>
      </c>
      <c r="D198" t="s">
        <v>926</v>
      </c>
      <c r="E198" t="s">
        <v>161</v>
      </c>
      <c r="F198" t="s">
        <v>788</v>
      </c>
      <c r="G198">
        <v>1988</v>
      </c>
      <c r="H198">
        <v>37</v>
      </c>
      <c r="I198">
        <v>3</v>
      </c>
      <c r="J198">
        <v>2028</v>
      </c>
    </row>
    <row r="199" spans="1:10" x14ac:dyDescent="0.2">
      <c r="A199">
        <v>195</v>
      </c>
      <c r="B199" t="s">
        <v>949</v>
      </c>
      <c r="C199" t="s">
        <v>736</v>
      </c>
      <c r="D199" t="s">
        <v>855</v>
      </c>
      <c r="E199" t="s">
        <v>161</v>
      </c>
      <c r="F199" t="s">
        <v>950</v>
      </c>
      <c r="G199">
        <v>1997</v>
      </c>
      <c r="H199">
        <v>28</v>
      </c>
      <c r="I199">
        <v>12</v>
      </c>
      <c r="J199">
        <v>2037</v>
      </c>
    </row>
    <row r="200" spans="1:10" x14ac:dyDescent="0.2">
      <c r="A200">
        <v>196</v>
      </c>
      <c r="B200" t="s">
        <v>911</v>
      </c>
      <c r="C200" t="s">
        <v>736</v>
      </c>
      <c r="D200" t="s">
        <v>790</v>
      </c>
      <c r="E200" t="s">
        <v>161</v>
      </c>
      <c r="F200" t="s">
        <v>950</v>
      </c>
      <c r="G200">
        <v>1997</v>
      </c>
      <c r="H200">
        <v>28</v>
      </c>
      <c r="I200">
        <v>12</v>
      </c>
      <c r="J200">
        <v>2037</v>
      </c>
    </row>
    <row r="201" spans="1:10" x14ac:dyDescent="0.2">
      <c r="A201">
        <v>197</v>
      </c>
      <c r="B201" t="s">
        <v>948</v>
      </c>
      <c r="C201" t="s">
        <v>736</v>
      </c>
      <c r="D201" t="s">
        <v>855</v>
      </c>
      <c r="E201" t="s">
        <v>161</v>
      </c>
      <c r="F201" t="s">
        <v>789</v>
      </c>
      <c r="G201">
        <v>1981</v>
      </c>
      <c r="H201">
        <v>44</v>
      </c>
      <c r="I201">
        <v>-4</v>
      </c>
      <c r="J201">
        <v>2021</v>
      </c>
    </row>
    <row r="202" spans="1:10" x14ac:dyDescent="0.2">
      <c r="A202">
        <v>198</v>
      </c>
      <c r="B202" t="s">
        <v>935</v>
      </c>
      <c r="C202" t="s">
        <v>736</v>
      </c>
      <c r="D202" t="s">
        <v>846</v>
      </c>
      <c r="E202" t="s">
        <v>179</v>
      </c>
      <c r="F202" t="s">
        <v>789</v>
      </c>
      <c r="G202">
        <v>1992</v>
      </c>
      <c r="H202">
        <v>33</v>
      </c>
      <c r="I202">
        <v>7</v>
      </c>
      <c r="J202">
        <v>2032</v>
      </c>
    </row>
    <row r="203" spans="1:10" x14ac:dyDescent="0.2">
      <c r="A203">
        <v>199</v>
      </c>
      <c r="B203" t="s">
        <v>921</v>
      </c>
      <c r="C203" t="s">
        <v>736</v>
      </c>
      <c r="D203" t="s">
        <v>951</v>
      </c>
      <c r="E203" t="s">
        <v>167</v>
      </c>
      <c r="F203" t="s">
        <v>952</v>
      </c>
      <c r="G203">
        <v>1989</v>
      </c>
      <c r="H203">
        <v>36</v>
      </c>
      <c r="I203">
        <v>4</v>
      </c>
      <c r="J203">
        <v>2029</v>
      </c>
    </row>
    <row r="204" spans="1:10" x14ac:dyDescent="0.2">
      <c r="A204">
        <v>200</v>
      </c>
      <c r="B204" t="s">
        <v>935</v>
      </c>
      <c r="C204" t="s">
        <v>736</v>
      </c>
      <c r="D204" t="s">
        <v>953</v>
      </c>
      <c r="E204" t="s">
        <v>164</v>
      </c>
      <c r="F204" t="s">
        <v>954</v>
      </c>
      <c r="G204">
        <v>2018</v>
      </c>
      <c r="H204">
        <v>7</v>
      </c>
      <c r="I204">
        <v>33</v>
      </c>
      <c r="J204">
        <v>2058</v>
      </c>
    </row>
    <row r="205" spans="1:10" x14ac:dyDescent="0.2">
      <c r="A205">
        <v>201</v>
      </c>
      <c r="B205" t="s">
        <v>214</v>
      </c>
      <c r="C205" t="s">
        <v>736</v>
      </c>
      <c r="D205" t="s">
        <v>752</v>
      </c>
      <c r="E205" t="s">
        <v>164</v>
      </c>
      <c r="F205" t="s">
        <v>955</v>
      </c>
      <c r="G205">
        <v>2006</v>
      </c>
      <c r="H205">
        <v>19</v>
      </c>
      <c r="I205">
        <v>21</v>
      </c>
      <c r="J205">
        <v>2046</v>
      </c>
    </row>
    <row r="206" spans="1:10" x14ac:dyDescent="0.2">
      <c r="A206">
        <v>202</v>
      </c>
      <c r="B206" t="s">
        <v>949</v>
      </c>
      <c r="C206" t="s">
        <v>736</v>
      </c>
      <c r="D206" t="s">
        <v>752</v>
      </c>
      <c r="E206" t="s">
        <v>188</v>
      </c>
      <c r="F206" t="s">
        <v>955</v>
      </c>
      <c r="G206">
        <v>1982</v>
      </c>
      <c r="H206">
        <v>43</v>
      </c>
      <c r="I206">
        <v>-3</v>
      </c>
      <c r="J206">
        <v>2022</v>
      </c>
    </row>
    <row r="207" spans="1:10" x14ac:dyDescent="0.2">
      <c r="A207">
        <v>203</v>
      </c>
      <c r="B207" t="s">
        <v>956</v>
      </c>
      <c r="C207" t="s">
        <v>736</v>
      </c>
      <c r="D207" t="s">
        <v>790</v>
      </c>
      <c r="E207" t="s">
        <v>161</v>
      </c>
      <c r="F207" t="s">
        <v>957</v>
      </c>
      <c r="G207">
        <v>2012</v>
      </c>
      <c r="H207">
        <v>13</v>
      </c>
      <c r="I207">
        <v>27</v>
      </c>
      <c r="J207">
        <v>2052</v>
      </c>
    </row>
    <row r="208" spans="1:10" x14ac:dyDescent="0.2">
      <c r="A208">
        <v>204</v>
      </c>
      <c r="B208" t="s">
        <v>958</v>
      </c>
      <c r="C208" t="s">
        <v>736</v>
      </c>
      <c r="D208" t="s">
        <v>959</v>
      </c>
      <c r="E208" t="s">
        <v>167</v>
      </c>
      <c r="F208" t="s">
        <v>957</v>
      </c>
      <c r="G208">
        <v>1989</v>
      </c>
      <c r="H208">
        <v>36</v>
      </c>
      <c r="I208">
        <v>4</v>
      </c>
      <c r="J208">
        <v>2029</v>
      </c>
    </row>
    <row r="209" spans="1:10" x14ac:dyDescent="0.2">
      <c r="A209">
        <v>205</v>
      </c>
      <c r="B209" t="s">
        <v>889</v>
      </c>
      <c r="C209" t="s">
        <v>736</v>
      </c>
      <c r="D209" t="s">
        <v>960</v>
      </c>
      <c r="E209" t="s">
        <v>185</v>
      </c>
      <c r="F209" t="s">
        <v>847</v>
      </c>
      <c r="G209">
        <v>1999</v>
      </c>
      <c r="H209">
        <v>26</v>
      </c>
      <c r="I209">
        <v>14</v>
      </c>
      <c r="J209">
        <v>2039</v>
      </c>
    </row>
    <row r="210" spans="1:10" x14ac:dyDescent="0.2">
      <c r="A210">
        <v>206</v>
      </c>
      <c r="B210" t="s">
        <v>220</v>
      </c>
      <c r="C210" t="s">
        <v>736</v>
      </c>
      <c r="D210" t="s">
        <v>754</v>
      </c>
      <c r="E210" t="s">
        <v>167</v>
      </c>
      <c r="F210" t="s">
        <v>847</v>
      </c>
      <c r="G210">
        <v>1972</v>
      </c>
      <c r="H210">
        <v>53</v>
      </c>
      <c r="I210">
        <v>-13</v>
      </c>
      <c r="J210">
        <v>2012</v>
      </c>
    </row>
    <row r="211" spans="1:10" x14ac:dyDescent="0.2">
      <c r="A211">
        <v>207</v>
      </c>
      <c r="B211" t="s">
        <v>961</v>
      </c>
      <c r="C211" t="s">
        <v>736</v>
      </c>
      <c r="D211" t="s">
        <v>924</v>
      </c>
      <c r="E211" t="s">
        <v>161</v>
      </c>
      <c r="F211" t="s">
        <v>847</v>
      </c>
      <c r="G211">
        <v>1991</v>
      </c>
      <c r="H211">
        <v>34</v>
      </c>
      <c r="I211">
        <v>6</v>
      </c>
      <c r="J211">
        <v>2031</v>
      </c>
    </row>
    <row r="212" spans="1:10" x14ac:dyDescent="0.2">
      <c r="A212">
        <v>208</v>
      </c>
      <c r="B212" t="s">
        <v>911</v>
      </c>
      <c r="C212" t="s">
        <v>736</v>
      </c>
      <c r="D212" t="s">
        <v>926</v>
      </c>
      <c r="E212" t="s">
        <v>167</v>
      </c>
      <c r="F212" t="s">
        <v>962</v>
      </c>
      <c r="G212">
        <v>1975</v>
      </c>
      <c r="H212">
        <v>50</v>
      </c>
      <c r="I212">
        <v>-10</v>
      </c>
      <c r="J212">
        <v>2015</v>
      </c>
    </row>
    <row r="213" spans="1:10" x14ac:dyDescent="0.2">
      <c r="A213">
        <v>209</v>
      </c>
      <c r="B213" t="s">
        <v>961</v>
      </c>
      <c r="C213" t="s">
        <v>736</v>
      </c>
      <c r="D213" t="s">
        <v>963</v>
      </c>
      <c r="E213" t="s">
        <v>161</v>
      </c>
      <c r="F213" t="s">
        <v>849</v>
      </c>
      <c r="G213">
        <v>2008</v>
      </c>
      <c r="H213">
        <v>17</v>
      </c>
      <c r="I213">
        <v>23</v>
      </c>
      <c r="J213">
        <v>2048</v>
      </c>
    </row>
    <row r="214" spans="1:10" x14ac:dyDescent="0.2">
      <c r="A214">
        <v>210</v>
      </c>
      <c r="B214" t="s">
        <v>964</v>
      </c>
      <c r="C214" t="s">
        <v>736</v>
      </c>
      <c r="D214" t="s">
        <v>965</v>
      </c>
      <c r="E214" t="s">
        <v>182</v>
      </c>
      <c r="F214" t="s">
        <v>393</v>
      </c>
      <c r="G214">
        <v>1973</v>
      </c>
      <c r="H214">
        <v>52</v>
      </c>
      <c r="I214">
        <v>-12</v>
      </c>
      <c r="J214">
        <v>2013</v>
      </c>
    </row>
    <row r="215" spans="1:10" x14ac:dyDescent="0.2">
      <c r="A215">
        <v>211</v>
      </c>
      <c r="B215" t="s">
        <v>956</v>
      </c>
      <c r="C215" t="s">
        <v>736</v>
      </c>
      <c r="D215" t="s">
        <v>966</v>
      </c>
      <c r="E215" t="s">
        <v>161</v>
      </c>
      <c r="F215" t="s">
        <v>393</v>
      </c>
      <c r="G215">
        <v>2018</v>
      </c>
      <c r="H215">
        <v>7</v>
      </c>
      <c r="I215">
        <v>33</v>
      </c>
      <c r="J215">
        <v>2058</v>
      </c>
    </row>
    <row r="216" spans="1:10" x14ac:dyDescent="0.2">
      <c r="A216">
        <v>212</v>
      </c>
      <c r="B216" t="s">
        <v>961</v>
      </c>
      <c r="C216" t="s">
        <v>736</v>
      </c>
      <c r="D216" t="s">
        <v>967</v>
      </c>
      <c r="E216" t="s">
        <v>392</v>
      </c>
      <c r="F216" t="s">
        <v>393</v>
      </c>
      <c r="G216">
        <v>1999</v>
      </c>
      <c r="H216">
        <v>26</v>
      </c>
      <c r="I216">
        <v>14</v>
      </c>
      <c r="J216">
        <v>2039</v>
      </c>
    </row>
    <row r="217" spans="1:10" x14ac:dyDescent="0.2">
      <c r="A217">
        <v>213</v>
      </c>
      <c r="B217" t="s">
        <v>923</v>
      </c>
      <c r="C217" t="s">
        <v>736</v>
      </c>
      <c r="D217" t="s">
        <v>963</v>
      </c>
      <c r="E217" t="s">
        <v>161</v>
      </c>
      <c r="F217" t="s">
        <v>968</v>
      </c>
      <c r="G217">
        <v>2009</v>
      </c>
      <c r="H217">
        <v>16</v>
      </c>
      <c r="I217">
        <v>24</v>
      </c>
      <c r="J217">
        <v>2049</v>
      </c>
    </row>
    <row r="218" spans="1:10" x14ac:dyDescent="0.2">
      <c r="A218">
        <v>214</v>
      </c>
      <c r="B218" t="s">
        <v>908</v>
      </c>
      <c r="C218" t="s">
        <v>736</v>
      </c>
      <c r="D218" t="s">
        <v>966</v>
      </c>
      <c r="E218" t="s">
        <v>161</v>
      </c>
      <c r="F218" t="s">
        <v>969</v>
      </c>
      <c r="G218">
        <v>2018</v>
      </c>
      <c r="H218">
        <v>7</v>
      </c>
      <c r="I218">
        <v>33</v>
      </c>
      <c r="J218">
        <v>2058</v>
      </c>
    </row>
    <row r="219" spans="1:10" x14ac:dyDescent="0.2">
      <c r="A219">
        <v>215</v>
      </c>
      <c r="B219" t="s">
        <v>970</v>
      </c>
      <c r="C219" t="s">
        <v>736</v>
      </c>
      <c r="D219" t="s">
        <v>790</v>
      </c>
      <c r="E219" t="s">
        <v>167</v>
      </c>
      <c r="F219" t="s">
        <v>971</v>
      </c>
      <c r="G219">
        <v>1987</v>
      </c>
      <c r="H219">
        <v>38</v>
      </c>
      <c r="I219">
        <v>2</v>
      </c>
      <c r="J219">
        <v>2027</v>
      </c>
    </row>
    <row r="220" spans="1:10" x14ac:dyDescent="0.2">
      <c r="A220">
        <v>216</v>
      </c>
      <c r="B220" t="s">
        <v>964</v>
      </c>
      <c r="C220" t="s">
        <v>736</v>
      </c>
      <c r="D220" t="s">
        <v>754</v>
      </c>
      <c r="E220" t="s">
        <v>161</v>
      </c>
      <c r="F220" t="s">
        <v>972</v>
      </c>
      <c r="G220">
        <v>1989</v>
      </c>
      <c r="H220">
        <v>36</v>
      </c>
      <c r="I220">
        <v>4</v>
      </c>
      <c r="J220">
        <v>2029</v>
      </c>
    </row>
    <row r="221" spans="1:10" x14ac:dyDescent="0.2">
      <c r="A221">
        <v>217</v>
      </c>
      <c r="B221" t="s">
        <v>964</v>
      </c>
      <c r="C221" t="s">
        <v>736</v>
      </c>
      <c r="D221" t="s">
        <v>752</v>
      </c>
      <c r="E221" t="s">
        <v>161</v>
      </c>
      <c r="F221" t="s">
        <v>972</v>
      </c>
      <c r="G221">
        <v>1984</v>
      </c>
      <c r="H221">
        <v>41</v>
      </c>
      <c r="I221">
        <v>-1</v>
      </c>
      <c r="J221">
        <v>2024</v>
      </c>
    </row>
    <row r="222" spans="1:10" x14ac:dyDescent="0.2">
      <c r="A222">
        <v>218</v>
      </c>
      <c r="B222" t="s">
        <v>923</v>
      </c>
      <c r="C222" t="s">
        <v>736</v>
      </c>
      <c r="D222" t="s">
        <v>963</v>
      </c>
      <c r="E222" t="s">
        <v>164</v>
      </c>
      <c r="F222" t="s">
        <v>972</v>
      </c>
      <c r="G222">
        <v>1995</v>
      </c>
      <c r="H222">
        <v>30</v>
      </c>
      <c r="I222">
        <v>10</v>
      </c>
      <c r="J222">
        <v>2035</v>
      </c>
    </row>
    <row r="223" spans="1:10" x14ac:dyDescent="0.2">
      <c r="A223">
        <v>219</v>
      </c>
      <c r="B223" t="s">
        <v>973</v>
      </c>
      <c r="C223" t="s">
        <v>736</v>
      </c>
      <c r="D223" t="s">
        <v>974</v>
      </c>
      <c r="E223" t="s">
        <v>164</v>
      </c>
      <c r="F223" t="s">
        <v>410</v>
      </c>
      <c r="G223">
        <v>2014</v>
      </c>
      <c r="H223">
        <v>11</v>
      </c>
      <c r="I223">
        <v>29</v>
      </c>
      <c r="J223">
        <v>2054</v>
      </c>
    </row>
    <row r="224" spans="1:10" x14ac:dyDescent="0.2">
      <c r="A224">
        <v>220</v>
      </c>
      <c r="B224" t="s">
        <v>973</v>
      </c>
      <c r="C224" t="s">
        <v>736</v>
      </c>
      <c r="D224" t="s">
        <v>855</v>
      </c>
      <c r="E224" t="s">
        <v>161</v>
      </c>
      <c r="F224" t="s">
        <v>975</v>
      </c>
      <c r="G224">
        <v>2019</v>
      </c>
      <c r="H224">
        <v>6</v>
      </c>
      <c r="I224">
        <v>34</v>
      </c>
      <c r="J224">
        <v>2059</v>
      </c>
    </row>
    <row r="225" spans="1:10" x14ac:dyDescent="0.2">
      <c r="A225">
        <v>221</v>
      </c>
      <c r="B225" t="s">
        <v>964</v>
      </c>
      <c r="C225" t="s">
        <v>736</v>
      </c>
      <c r="D225" t="s">
        <v>926</v>
      </c>
      <c r="E225" t="s">
        <v>167</v>
      </c>
      <c r="F225" t="s">
        <v>976</v>
      </c>
      <c r="G225">
        <v>1982</v>
      </c>
      <c r="H225">
        <v>43</v>
      </c>
      <c r="I225">
        <v>-3</v>
      </c>
      <c r="J225">
        <v>2022</v>
      </c>
    </row>
    <row r="226" spans="1:10" x14ac:dyDescent="0.2">
      <c r="A226">
        <v>222</v>
      </c>
      <c r="B226" t="s">
        <v>977</v>
      </c>
      <c r="C226" t="s">
        <v>736</v>
      </c>
      <c r="D226" t="s">
        <v>790</v>
      </c>
      <c r="E226" t="s">
        <v>167</v>
      </c>
      <c r="F226" t="s">
        <v>976</v>
      </c>
      <c r="G226">
        <v>1983</v>
      </c>
      <c r="H226">
        <v>42</v>
      </c>
      <c r="I226">
        <v>-2</v>
      </c>
      <c r="J226">
        <v>2023</v>
      </c>
    </row>
    <row r="227" spans="1:10" x14ac:dyDescent="0.2">
      <c r="A227">
        <v>223</v>
      </c>
      <c r="B227" t="s">
        <v>964</v>
      </c>
      <c r="C227" t="s">
        <v>736</v>
      </c>
      <c r="D227" t="s">
        <v>790</v>
      </c>
      <c r="E227" t="s">
        <v>167</v>
      </c>
      <c r="F227" t="s">
        <v>978</v>
      </c>
      <c r="G227">
        <v>1973</v>
      </c>
      <c r="H227">
        <v>52</v>
      </c>
      <c r="I227">
        <v>-12</v>
      </c>
      <c r="J227">
        <v>2013</v>
      </c>
    </row>
    <row r="228" spans="1:10" x14ac:dyDescent="0.2">
      <c r="A228">
        <v>224</v>
      </c>
      <c r="B228" t="s">
        <v>964</v>
      </c>
      <c r="C228" t="s">
        <v>736</v>
      </c>
      <c r="D228" t="s">
        <v>951</v>
      </c>
      <c r="E228" t="s">
        <v>167</v>
      </c>
      <c r="F228" t="s">
        <v>978</v>
      </c>
      <c r="G228">
        <v>1989</v>
      </c>
      <c r="H228">
        <v>36</v>
      </c>
      <c r="I228">
        <v>4</v>
      </c>
      <c r="J228">
        <v>2029</v>
      </c>
    </row>
    <row r="229" spans="1:10" x14ac:dyDescent="0.2">
      <c r="A229">
        <v>225</v>
      </c>
      <c r="B229" t="s">
        <v>938</v>
      </c>
      <c r="C229" t="s">
        <v>736</v>
      </c>
      <c r="D229" t="s">
        <v>752</v>
      </c>
      <c r="E229" t="s">
        <v>164</v>
      </c>
      <c r="F229" t="s">
        <v>978</v>
      </c>
      <c r="G229">
        <v>1996</v>
      </c>
      <c r="H229">
        <v>29</v>
      </c>
      <c r="I229">
        <v>11</v>
      </c>
      <c r="J229">
        <v>2036</v>
      </c>
    </row>
    <row r="230" spans="1:10" x14ac:dyDescent="0.2">
      <c r="A230">
        <v>226</v>
      </c>
      <c r="B230" t="s">
        <v>956</v>
      </c>
      <c r="C230" t="s">
        <v>736</v>
      </c>
      <c r="D230" t="s">
        <v>752</v>
      </c>
      <c r="E230" t="s">
        <v>164</v>
      </c>
      <c r="F230" t="s">
        <v>978</v>
      </c>
      <c r="G230">
        <v>2012</v>
      </c>
      <c r="H230">
        <v>13</v>
      </c>
      <c r="I230">
        <v>27</v>
      </c>
      <c r="J230">
        <v>2052</v>
      </c>
    </row>
    <row r="231" spans="1:10" x14ac:dyDescent="0.2">
      <c r="A231">
        <v>227</v>
      </c>
      <c r="B231" t="s">
        <v>979</v>
      </c>
      <c r="C231" t="s">
        <v>736</v>
      </c>
      <c r="D231" t="s">
        <v>959</v>
      </c>
      <c r="E231" t="s">
        <v>167</v>
      </c>
      <c r="F231" t="s">
        <v>980</v>
      </c>
      <c r="G231">
        <v>1974</v>
      </c>
      <c r="H231">
        <v>51</v>
      </c>
      <c r="I231">
        <v>-11</v>
      </c>
      <c r="J231">
        <v>2014</v>
      </c>
    </row>
    <row r="232" spans="1:10" x14ac:dyDescent="0.2">
      <c r="A232">
        <v>228</v>
      </c>
      <c r="B232" t="s">
        <v>970</v>
      </c>
      <c r="C232" t="s">
        <v>736</v>
      </c>
      <c r="D232" t="s">
        <v>752</v>
      </c>
      <c r="E232" t="s">
        <v>164</v>
      </c>
      <c r="F232" t="s">
        <v>981</v>
      </c>
      <c r="G232">
        <v>1996</v>
      </c>
      <c r="H232">
        <v>29</v>
      </c>
      <c r="I232">
        <v>11</v>
      </c>
      <c r="J232">
        <v>2036</v>
      </c>
    </row>
    <row r="233" spans="1:10" x14ac:dyDescent="0.2">
      <c r="A233">
        <v>229</v>
      </c>
      <c r="B233" t="s">
        <v>977</v>
      </c>
      <c r="C233" t="s">
        <v>736</v>
      </c>
      <c r="D233" t="s">
        <v>982</v>
      </c>
      <c r="E233" t="s">
        <v>185</v>
      </c>
      <c r="F233" t="s">
        <v>852</v>
      </c>
      <c r="G233">
        <v>1996</v>
      </c>
      <c r="H233">
        <v>29</v>
      </c>
      <c r="I233">
        <v>11</v>
      </c>
      <c r="J233">
        <v>2036</v>
      </c>
    </row>
    <row r="234" spans="1:10" x14ac:dyDescent="0.2">
      <c r="A234">
        <v>230</v>
      </c>
      <c r="B234" t="s">
        <v>932</v>
      </c>
      <c r="C234" t="s">
        <v>736</v>
      </c>
      <c r="D234" t="s">
        <v>846</v>
      </c>
      <c r="E234" t="s">
        <v>394</v>
      </c>
      <c r="F234" t="s">
        <v>852</v>
      </c>
      <c r="G234">
        <v>1983</v>
      </c>
      <c r="H234">
        <v>42</v>
      </c>
      <c r="I234">
        <v>-2</v>
      </c>
      <c r="J234">
        <v>2023</v>
      </c>
    </row>
    <row r="235" spans="1:10" x14ac:dyDescent="0.2">
      <c r="A235">
        <v>231</v>
      </c>
      <c r="B235" t="s">
        <v>983</v>
      </c>
      <c r="C235" t="s">
        <v>736</v>
      </c>
      <c r="D235" t="s">
        <v>752</v>
      </c>
      <c r="E235" t="s">
        <v>188</v>
      </c>
      <c r="F235" t="s">
        <v>438</v>
      </c>
      <c r="G235">
        <v>1982</v>
      </c>
      <c r="H235">
        <v>43</v>
      </c>
      <c r="I235">
        <v>-3</v>
      </c>
      <c r="J235">
        <v>2022</v>
      </c>
    </row>
    <row r="236" spans="1:10" x14ac:dyDescent="0.2">
      <c r="A236">
        <v>232</v>
      </c>
      <c r="B236" t="s">
        <v>886</v>
      </c>
      <c r="C236" t="s">
        <v>736</v>
      </c>
      <c r="D236" t="s">
        <v>984</v>
      </c>
      <c r="E236" t="s">
        <v>395</v>
      </c>
      <c r="F236" t="s">
        <v>396</v>
      </c>
      <c r="G236">
        <v>1990</v>
      </c>
      <c r="H236">
        <v>35</v>
      </c>
      <c r="I236">
        <v>5</v>
      </c>
      <c r="J236">
        <v>2030</v>
      </c>
    </row>
    <row r="237" spans="1:10" x14ac:dyDescent="0.2">
      <c r="A237">
        <v>233</v>
      </c>
      <c r="B237" t="s">
        <v>948</v>
      </c>
      <c r="C237" t="s">
        <v>736</v>
      </c>
      <c r="D237" t="s">
        <v>846</v>
      </c>
      <c r="E237" t="s">
        <v>182</v>
      </c>
      <c r="F237" t="s">
        <v>423</v>
      </c>
      <c r="G237">
        <v>1990</v>
      </c>
      <c r="H237">
        <v>35</v>
      </c>
      <c r="I237">
        <v>5</v>
      </c>
      <c r="J237">
        <v>2030</v>
      </c>
    </row>
    <row r="238" spans="1:10" x14ac:dyDescent="0.2">
      <c r="A238">
        <v>234</v>
      </c>
      <c r="B238" t="s">
        <v>923</v>
      </c>
      <c r="C238" t="s">
        <v>736</v>
      </c>
      <c r="D238" t="s">
        <v>754</v>
      </c>
      <c r="E238" t="s">
        <v>161</v>
      </c>
      <c r="F238" t="s">
        <v>423</v>
      </c>
      <c r="G238">
        <v>2013</v>
      </c>
      <c r="H238">
        <v>12</v>
      </c>
      <c r="I238">
        <v>28</v>
      </c>
      <c r="J238">
        <v>2053</v>
      </c>
    </row>
    <row r="239" spans="1:10" x14ac:dyDescent="0.2">
      <c r="A239">
        <v>235</v>
      </c>
      <c r="B239" t="s">
        <v>973</v>
      </c>
      <c r="C239" t="s">
        <v>736</v>
      </c>
      <c r="D239" t="s">
        <v>974</v>
      </c>
      <c r="E239" t="s">
        <v>161</v>
      </c>
      <c r="F239" t="s">
        <v>423</v>
      </c>
      <c r="G239">
        <v>2004</v>
      </c>
      <c r="H239">
        <v>21</v>
      </c>
      <c r="I239">
        <v>19</v>
      </c>
      <c r="J239">
        <v>2044</v>
      </c>
    </row>
    <row r="240" spans="1:10" x14ac:dyDescent="0.2">
      <c r="A240">
        <v>236</v>
      </c>
      <c r="B240" t="s">
        <v>977</v>
      </c>
      <c r="C240" t="s">
        <v>736</v>
      </c>
      <c r="D240" t="s">
        <v>985</v>
      </c>
      <c r="E240" t="s">
        <v>167</v>
      </c>
      <c r="F240" t="s">
        <v>986</v>
      </c>
      <c r="G240">
        <v>1990</v>
      </c>
      <c r="H240">
        <v>35</v>
      </c>
      <c r="I240">
        <v>5</v>
      </c>
      <c r="J240">
        <v>2030</v>
      </c>
    </row>
    <row r="241" spans="1:10" x14ac:dyDescent="0.2">
      <c r="A241">
        <v>237</v>
      </c>
      <c r="B241" t="s">
        <v>921</v>
      </c>
      <c r="C241" t="s">
        <v>736</v>
      </c>
      <c r="D241" t="s">
        <v>752</v>
      </c>
      <c r="E241" t="s">
        <v>161</v>
      </c>
      <c r="F241" t="s">
        <v>854</v>
      </c>
      <c r="G241">
        <v>1984</v>
      </c>
      <c r="H241">
        <v>41</v>
      </c>
      <c r="I241">
        <v>-1</v>
      </c>
      <c r="J241">
        <v>2024</v>
      </c>
    </row>
    <row r="242" spans="1:10" x14ac:dyDescent="0.2">
      <c r="A242">
        <v>238</v>
      </c>
      <c r="B242" t="s">
        <v>935</v>
      </c>
      <c r="C242" t="s">
        <v>736</v>
      </c>
      <c r="D242" t="s">
        <v>846</v>
      </c>
      <c r="E242" t="s">
        <v>394</v>
      </c>
      <c r="F242" t="s">
        <v>854</v>
      </c>
      <c r="G242">
        <v>1981</v>
      </c>
      <c r="H242">
        <v>44</v>
      </c>
      <c r="I242">
        <v>-4</v>
      </c>
      <c r="J242">
        <v>2021</v>
      </c>
    </row>
    <row r="243" spans="1:10" x14ac:dyDescent="0.2">
      <c r="A243">
        <v>239</v>
      </c>
      <c r="B243" t="s">
        <v>987</v>
      </c>
      <c r="C243" t="s">
        <v>736</v>
      </c>
      <c r="D243" t="s">
        <v>988</v>
      </c>
      <c r="E243" t="s">
        <v>167</v>
      </c>
      <c r="F243" t="s">
        <v>989</v>
      </c>
      <c r="G243">
        <v>1976</v>
      </c>
      <c r="H243">
        <v>49</v>
      </c>
      <c r="I243">
        <v>-9</v>
      </c>
      <c r="J243">
        <v>2016</v>
      </c>
    </row>
    <row r="244" spans="1:10" x14ac:dyDescent="0.2">
      <c r="A244">
        <v>240</v>
      </c>
      <c r="B244" t="s">
        <v>987</v>
      </c>
      <c r="C244" t="s">
        <v>736</v>
      </c>
      <c r="D244" t="s">
        <v>990</v>
      </c>
      <c r="E244" t="s">
        <v>167</v>
      </c>
      <c r="F244" t="s">
        <v>991</v>
      </c>
      <c r="G244">
        <v>1992</v>
      </c>
      <c r="H244">
        <v>33</v>
      </c>
      <c r="I244">
        <v>7</v>
      </c>
      <c r="J244">
        <v>2032</v>
      </c>
    </row>
    <row r="245" spans="1:10" x14ac:dyDescent="0.2">
      <c r="A245">
        <v>241</v>
      </c>
      <c r="B245" t="s">
        <v>876</v>
      </c>
      <c r="C245" t="s">
        <v>736</v>
      </c>
      <c r="D245" t="s">
        <v>992</v>
      </c>
      <c r="E245" t="s">
        <v>161</v>
      </c>
      <c r="F245" t="s">
        <v>991</v>
      </c>
      <c r="G245">
        <v>2018</v>
      </c>
      <c r="H245">
        <v>7</v>
      </c>
      <c r="I245">
        <v>33</v>
      </c>
      <c r="J245">
        <v>2058</v>
      </c>
    </row>
    <row r="246" spans="1:10" x14ac:dyDescent="0.2">
      <c r="A246">
        <v>242</v>
      </c>
      <c r="B246" t="s">
        <v>860</v>
      </c>
      <c r="C246" t="s">
        <v>736</v>
      </c>
      <c r="D246" t="s">
        <v>982</v>
      </c>
      <c r="E246" t="s">
        <v>185</v>
      </c>
      <c r="F246" t="s">
        <v>993</v>
      </c>
      <c r="G246">
        <v>2021</v>
      </c>
      <c r="H246">
        <v>4</v>
      </c>
      <c r="I246">
        <v>36</v>
      </c>
      <c r="J246">
        <v>2061</v>
      </c>
    </row>
    <row r="247" spans="1:10" x14ac:dyDescent="0.2">
      <c r="A247">
        <v>243</v>
      </c>
      <c r="B247" t="s">
        <v>977</v>
      </c>
      <c r="C247" t="s">
        <v>736</v>
      </c>
      <c r="D247" t="s">
        <v>752</v>
      </c>
      <c r="E247" t="s">
        <v>164</v>
      </c>
      <c r="F247" t="s">
        <v>994</v>
      </c>
      <c r="G247">
        <v>1996</v>
      </c>
      <c r="H247">
        <v>29</v>
      </c>
      <c r="I247">
        <v>11</v>
      </c>
      <c r="J247">
        <v>2036</v>
      </c>
    </row>
    <row r="248" spans="1:10" x14ac:dyDescent="0.2">
      <c r="A248">
        <v>244</v>
      </c>
      <c r="B248" t="s">
        <v>983</v>
      </c>
      <c r="C248" t="s">
        <v>736</v>
      </c>
      <c r="D248" t="s">
        <v>855</v>
      </c>
      <c r="E248" t="s">
        <v>161</v>
      </c>
      <c r="F248" t="s">
        <v>995</v>
      </c>
      <c r="G248">
        <v>1997</v>
      </c>
      <c r="H248">
        <v>28</v>
      </c>
      <c r="I248">
        <v>12</v>
      </c>
      <c r="J248">
        <v>2037</v>
      </c>
    </row>
    <row r="249" spans="1:10" x14ac:dyDescent="0.2">
      <c r="A249">
        <v>245</v>
      </c>
      <c r="B249" t="s">
        <v>214</v>
      </c>
      <c r="C249" t="s">
        <v>736</v>
      </c>
      <c r="D249" t="s">
        <v>875</v>
      </c>
      <c r="E249" t="s">
        <v>161</v>
      </c>
      <c r="F249" t="s">
        <v>996</v>
      </c>
      <c r="G249">
        <v>2010</v>
      </c>
      <c r="H249">
        <v>15</v>
      </c>
      <c r="I249">
        <v>25</v>
      </c>
      <c r="J249">
        <v>2050</v>
      </c>
    </row>
    <row r="250" spans="1:10" x14ac:dyDescent="0.2">
      <c r="A250">
        <v>246</v>
      </c>
      <c r="B250" t="s">
        <v>987</v>
      </c>
      <c r="C250" t="s">
        <v>736</v>
      </c>
      <c r="D250" t="s">
        <v>933</v>
      </c>
      <c r="E250" t="s">
        <v>167</v>
      </c>
      <c r="F250" t="s">
        <v>97</v>
      </c>
      <c r="G250">
        <v>1988</v>
      </c>
      <c r="H250">
        <v>37</v>
      </c>
      <c r="I250">
        <v>3</v>
      </c>
      <c r="J250">
        <v>2028</v>
      </c>
    </row>
    <row r="251" spans="1:10" x14ac:dyDescent="0.2">
      <c r="A251">
        <v>247</v>
      </c>
      <c r="B251" t="s">
        <v>200</v>
      </c>
      <c r="C251" t="s">
        <v>736</v>
      </c>
      <c r="D251" t="s">
        <v>898</v>
      </c>
      <c r="E251" t="s">
        <v>167</v>
      </c>
      <c r="F251" t="s">
        <v>289</v>
      </c>
      <c r="G251">
        <v>1991</v>
      </c>
      <c r="H251">
        <v>34</v>
      </c>
      <c r="I251">
        <v>6</v>
      </c>
      <c r="J251">
        <v>2031</v>
      </c>
    </row>
    <row r="252" spans="1:10" x14ac:dyDescent="0.2">
      <c r="A252">
        <v>248</v>
      </c>
      <c r="B252" t="s">
        <v>202</v>
      </c>
      <c r="C252" t="s">
        <v>736</v>
      </c>
      <c r="D252" t="s">
        <v>754</v>
      </c>
      <c r="E252" t="s">
        <v>167</v>
      </c>
      <c r="F252" t="s">
        <v>289</v>
      </c>
      <c r="G252">
        <v>1990</v>
      </c>
      <c r="H252">
        <v>35</v>
      </c>
      <c r="I252">
        <v>5</v>
      </c>
      <c r="J252">
        <v>2030</v>
      </c>
    </row>
    <row r="253" spans="1:10" x14ac:dyDescent="0.2">
      <c r="A253">
        <v>249</v>
      </c>
      <c r="B253" t="s">
        <v>997</v>
      </c>
      <c r="C253" t="s">
        <v>736</v>
      </c>
      <c r="D253" t="s">
        <v>754</v>
      </c>
      <c r="E253" t="s">
        <v>167</v>
      </c>
      <c r="F253" t="s">
        <v>289</v>
      </c>
      <c r="G253">
        <v>1998</v>
      </c>
      <c r="H253">
        <v>27</v>
      </c>
      <c r="I253">
        <v>13</v>
      </c>
      <c r="J253">
        <v>2038</v>
      </c>
    </row>
    <row r="254" spans="1:10" x14ac:dyDescent="0.2">
      <c r="A254">
        <v>250</v>
      </c>
      <c r="B254" t="s">
        <v>865</v>
      </c>
      <c r="C254" t="s">
        <v>736</v>
      </c>
      <c r="D254" t="s">
        <v>752</v>
      </c>
      <c r="E254" t="s">
        <v>164</v>
      </c>
      <c r="F254" t="s">
        <v>289</v>
      </c>
      <c r="G254">
        <v>2006</v>
      </c>
      <c r="H254">
        <v>19</v>
      </c>
      <c r="I254">
        <v>21</v>
      </c>
      <c r="J254">
        <v>2046</v>
      </c>
    </row>
    <row r="255" spans="1:10" x14ac:dyDescent="0.2">
      <c r="A255">
        <v>251</v>
      </c>
      <c r="B255" t="s">
        <v>932</v>
      </c>
      <c r="C255" t="s">
        <v>736</v>
      </c>
      <c r="D255" t="s">
        <v>752</v>
      </c>
      <c r="E255" t="s">
        <v>161</v>
      </c>
      <c r="F255" t="s">
        <v>289</v>
      </c>
      <c r="G255">
        <v>1992</v>
      </c>
      <c r="H255">
        <v>33</v>
      </c>
      <c r="I255">
        <v>7</v>
      </c>
      <c r="J255">
        <v>2032</v>
      </c>
    </row>
    <row r="256" spans="1:10" x14ac:dyDescent="0.2">
      <c r="A256">
        <v>252</v>
      </c>
      <c r="B256" t="s">
        <v>932</v>
      </c>
      <c r="C256" t="s">
        <v>736</v>
      </c>
      <c r="D256" t="s">
        <v>855</v>
      </c>
      <c r="E256" t="s">
        <v>167</v>
      </c>
      <c r="F256" t="s">
        <v>289</v>
      </c>
      <c r="G256">
        <v>1997</v>
      </c>
      <c r="H256">
        <v>28</v>
      </c>
      <c r="I256">
        <v>12</v>
      </c>
      <c r="J256">
        <v>2037</v>
      </c>
    </row>
    <row r="257" spans="1:10" x14ac:dyDescent="0.2">
      <c r="A257">
        <v>253</v>
      </c>
      <c r="B257" t="s">
        <v>987</v>
      </c>
      <c r="C257" t="s">
        <v>736</v>
      </c>
      <c r="D257" t="s">
        <v>855</v>
      </c>
      <c r="E257" t="s">
        <v>167</v>
      </c>
      <c r="F257" t="s">
        <v>289</v>
      </c>
      <c r="G257">
        <v>1998</v>
      </c>
      <c r="H257">
        <v>27</v>
      </c>
      <c r="I257">
        <v>13</v>
      </c>
      <c r="J257">
        <v>2038</v>
      </c>
    </row>
    <row r="258" spans="1:10" x14ac:dyDescent="0.2">
      <c r="A258">
        <v>254</v>
      </c>
      <c r="B258" t="s">
        <v>886</v>
      </c>
      <c r="C258" t="s">
        <v>736</v>
      </c>
      <c r="D258" t="s">
        <v>974</v>
      </c>
      <c r="E258" t="s">
        <v>398</v>
      </c>
      <c r="F258" t="s">
        <v>289</v>
      </c>
      <c r="G258">
        <v>2007</v>
      </c>
      <c r="H258">
        <v>18</v>
      </c>
      <c r="I258">
        <v>22</v>
      </c>
      <c r="J258">
        <v>2047</v>
      </c>
    </row>
    <row r="259" spans="1:10" x14ac:dyDescent="0.2">
      <c r="A259">
        <v>255</v>
      </c>
      <c r="B259" t="s">
        <v>949</v>
      </c>
      <c r="C259" t="s">
        <v>736</v>
      </c>
      <c r="D259" t="s">
        <v>752</v>
      </c>
      <c r="E259" t="s">
        <v>161</v>
      </c>
      <c r="F259" t="s">
        <v>289</v>
      </c>
      <c r="G259">
        <v>1996</v>
      </c>
      <c r="H259">
        <v>29</v>
      </c>
      <c r="I259">
        <v>11</v>
      </c>
      <c r="J259">
        <v>2036</v>
      </c>
    </row>
    <row r="260" spans="1:10" x14ac:dyDescent="0.2">
      <c r="A260">
        <v>256</v>
      </c>
      <c r="B260" t="s">
        <v>973</v>
      </c>
      <c r="C260" t="s">
        <v>736</v>
      </c>
      <c r="D260" t="s">
        <v>974</v>
      </c>
      <c r="E260" t="s">
        <v>167</v>
      </c>
      <c r="F260" t="s">
        <v>289</v>
      </c>
      <c r="G260">
        <v>1978</v>
      </c>
      <c r="H260">
        <v>47</v>
      </c>
      <c r="I260">
        <v>-7</v>
      </c>
      <c r="J260">
        <v>2018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G48"/>
  <sheetViews>
    <sheetView workbookViewId="0"/>
  </sheetViews>
  <sheetFormatPr baseColWidth="10" defaultColWidth="8.83203125" defaultRowHeight="15" x14ac:dyDescent="0.2"/>
  <cols>
    <col min="1" max="1" width="18" customWidth="1"/>
    <col min="2" max="7" width="15" customWidth="1"/>
  </cols>
  <sheetData>
    <row r="1" spans="1:7" ht="19" x14ac:dyDescent="0.25">
      <c r="A1" s="4" t="s">
        <v>998</v>
      </c>
    </row>
    <row r="2" spans="1:7" x14ac:dyDescent="0.2">
      <c r="A2" s="5" t="s">
        <v>999</v>
      </c>
    </row>
    <row r="4" spans="1:7" ht="16" x14ac:dyDescent="0.2">
      <c r="A4" s="1" t="s">
        <v>1000</v>
      </c>
    </row>
    <row r="6" spans="1:7" ht="16" x14ac:dyDescent="0.2">
      <c r="A6" s="3" t="s">
        <v>28</v>
      </c>
      <c r="B6" s="3" t="s">
        <v>9</v>
      </c>
      <c r="C6" s="3" t="s">
        <v>98</v>
      </c>
      <c r="D6" s="3" t="s">
        <v>796</v>
      </c>
      <c r="E6" s="3" t="s">
        <v>797</v>
      </c>
      <c r="F6" s="3" t="s">
        <v>798</v>
      </c>
      <c r="G6" s="3" t="s">
        <v>799</v>
      </c>
    </row>
    <row r="7" spans="1:7" x14ac:dyDescent="0.2">
      <c r="A7" t="s">
        <v>276</v>
      </c>
      <c r="B7" t="s">
        <v>1001</v>
      </c>
      <c r="C7" t="s">
        <v>1002</v>
      </c>
      <c r="D7" t="s">
        <v>1003</v>
      </c>
      <c r="E7" t="s">
        <v>1004</v>
      </c>
      <c r="F7" t="s">
        <v>1005</v>
      </c>
      <c r="G7" t="s">
        <v>1006</v>
      </c>
    </row>
    <row r="8" spans="1:7" x14ac:dyDescent="0.2">
      <c r="A8" t="s">
        <v>31</v>
      </c>
      <c r="B8" t="s">
        <v>1007</v>
      </c>
      <c r="C8" t="s">
        <v>1008</v>
      </c>
      <c r="D8" t="s">
        <v>1009</v>
      </c>
      <c r="E8" t="s">
        <v>1010</v>
      </c>
      <c r="F8" t="s">
        <v>1011</v>
      </c>
      <c r="G8" t="s">
        <v>538</v>
      </c>
    </row>
    <row r="9" spans="1:7" x14ac:dyDescent="0.2">
      <c r="A9" t="s">
        <v>103</v>
      </c>
      <c r="B9" t="s">
        <v>676</v>
      </c>
      <c r="C9" t="s">
        <v>1012</v>
      </c>
      <c r="D9" t="s">
        <v>1013</v>
      </c>
      <c r="E9" t="s">
        <v>1014</v>
      </c>
      <c r="F9" t="s">
        <v>1015</v>
      </c>
      <c r="G9" t="s">
        <v>539</v>
      </c>
    </row>
    <row r="10" spans="1:7" x14ac:dyDescent="0.2">
      <c r="A10" t="s">
        <v>112</v>
      </c>
      <c r="B10" t="s">
        <v>1016</v>
      </c>
      <c r="C10" t="s">
        <v>1017</v>
      </c>
      <c r="D10" t="s">
        <v>1018</v>
      </c>
      <c r="E10" t="s">
        <v>1019</v>
      </c>
      <c r="F10" t="s">
        <v>1020</v>
      </c>
      <c r="G10" t="s">
        <v>1021</v>
      </c>
    </row>
    <row r="11" spans="1:7" x14ac:dyDescent="0.2">
      <c r="A11" t="s">
        <v>277</v>
      </c>
      <c r="B11" t="s">
        <v>1022</v>
      </c>
      <c r="C11" t="s">
        <v>1023</v>
      </c>
      <c r="D11" t="s">
        <v>1024</v>
      </c>
      <c r="E11" t="s">
        <v>1025</v>
      </c>
      <c r="F11" t="s">
        <v>1026</v>
      </c>
      <c r="G11" t="s">
        <v>1027</v>
      </c>
    </row>
    <row r="14" spans="1:7" ht="16" x14ac:dyDescent="0.2">
      <c r="A14" s="1" t="s">
        <v>1028</v>
      </c>
    </row>
    <row r="16" spans="1:7" ht="16" x14ac:dyDescent="0.2">
      <c r="A16" s="3" t="s">
        <v>28</v>
      </c>
      <c r="B16" s="3" t="s">
        <v>9</v>
      </c>
      <c r="C16" s="3" t="s">
        <v>98</v>
      </c>
      <c r="D16" s="3" t="s">
        <v>796</v>
      </c>
      <c r="E16" s="3" t="s">
        <v>797</v>
      </c>
      <c r="F16" s="3" t="s">
        <v>798</v>
      </c>
      <c r="G16" s="3" t="s">
        <v>799</v>
      </c>
    </row>
    <row r="17" spans="1:7" x14ac:dyDescent="0.2">
      <c r="A17" t="s">
        <v>276</v>
      </c>
      <c r="B17" t="s">
        <v>1029</v>
      </c>
      <c r="C17" t="s">
        <v>1030</v>
      </c>
      <c r="D17" t="s">
        <v>1030</v>
      </c>
      <c r="E17" t="s">
        <v>1030</v>
      </c>
      <c r="F17" t="s">
        <v>1031</v>
      </c>
      <c r="G17" t="s">
        <v>1032</v>
      </c>
    </row>
    <row r="18" spans="1:7" x14ac:dyDescent="0.2">
      <c r="A18" t="s">
        <v>31</v>
      </c>
      <c r="B18" t="s">
        <v>1033</v>
      </c>
      <c r="C18" t="s">
        <v>1034</v>
      </c>
      <c r="D18" t="s">
        <v>1035</v>
      </c>
      <c r="E18" t="s">
        <v>1036</v>
      </c>
      <c r="F18" t="s">
        <v>1036</v>
      </c>
      <c r="G18" t="s">
        <v>1036</v>
      </c>
    </row>
    <row r="19" spans="1:7" x14ac:dyDescent="0.2">
      <c r="A19" t="s">
        <v>103</v>
      </c>
      <c r="B19" t="s">
        <v>1033</v>
      </c>
      <c r="C19" t="s">
        <v>1034</v>
      </c>
      <c r="D19" t="s">
        <v>1035</v>
      </c>
      <c r="E19" t="s">
        <v>1036</v>
      </c>
      <c r="F19" t="s">
        <v>1036</v>
      </c>
      <c r="G19" t="s">
        <v>1036</v>
      </c>
    </row>
    <row r="20" spans="1:7" x14ac:dyDescent="0.2">
      <c r="A20" t="s">
        <v>112</v>
      </c>
      <c r="B20" t="s">
        <v>1037</v>
      </c>
      <c r="C20" t="s">
        <v>1032</v>
      </c>
      <c r="D20" t="s">
        <v>1030</v>
      </c>
      <c r="E20" t="s">
        <v>1038</v>
      </c>
      <c r="F20" t="s">
        <v>1038</v>
      </c>
      <c r="G20" t="s">
        <v>1038</v>
      </c>
    </row>
    <row r="21" spans="1:7" x14ac:dyDescent="0.2">
      <c r="A21" t="s">
        <v>277</v>
      </c>
      <c r="B21" t="s">
        <v>1039</v>
      </c>
      <c r="C21" t="s">
        <v>1040</v>
      </c>
      <c r="D21" t="s">
        <v>481</v>
      </c>
      <c r="E21" t="s">
        <v>85</v>
      </c>
      <c r="F21" t="s">
        <v>544</v>
      </c>
      <c r="G21" t="s">
        <v>65</v>
      </c>
    </row>
    <row r="24" spans="1:7" ht="16" x14ac:dyDescent="0.2">
      <c r="A24" s="1" t="s">
        <v>1041</v>
      </c>
    </row>
    <row r="26" spans="1:7" x14ac:dyDescent="0.2">
      <c r="A26" s="2" t="s">
        <v>1042</v>
      </c>
    </row>
    <row r="27" spans="1:7" ht="16" x14ac:dyDescent="0.2">
      <c r="A27" s="3" t="s">
        <v>28</v>
      </c>
      <c r="B27" s="3" t="s">
        <v>271</v>
      </c>
      <c r="C27" s="3" t="s">
        <v>1043</v>
      </c>
      <c r="D27" s="3" t="s">
        <v>1044</v>
      </c>
      <c r="E27" s="3" t="s">
        <v>1045</v>
      </c>
      <c r="F27" s="3" t="s">
        <v>1046</v>
      </c>
    </row>
    <row r="28" spans="1:7" x14ac:dyDescent="0.2">
      <c r="A28" t="s">
        <v>276</v>
      </c>
      <c r="B28" t="s">
        <v>1047</v>
      </c>
      <c r="C28" t="s">
        <v>1048</v>
      </c>
      <c r="D28" t="s">
        <v>1049</v>
      </c>
      <c r="E28" t="s">
        <v>1050</v>
      </c>
      <c r="F28" t="s">
        <v>1002</v>
      </c>
    </row>
    <row r="29" spans="1:7" x14ac:dyDescent="0.2">
      <c r="A29" t="s">
        <v>103</v>
      </c>
      <c r="B29" t="s">
        <v>1051</v>
      </c>
      <c r="C29" t="s">
        <v>1052</v>
      </c>
      <c r="D29" t="s">
        <v>1052</v>
      </c>
      <c r="E29" t="s">
        <v>1053</v>
      </c>
      <c r="F29" t="s">
        <v>1012</v>
      </c>
    </row>
    <row r="30" spans="1:7" x14ac:dyDescent="0.2">
      <c r="A30" t="s">
        <v>31</v>
      </c>
      <c r="B30" t="s">
        <v>1051</v>
      </c>
      <c r="C30" t="s">
        <v>1054</v>
      </c>
      <c r="D30" t="s">
        <v>1054</v>
      </c>
      <c r="E30" t="s">
        <v>1055</v>
      </c>
      <c r="F30" t="s">
        <v>1008</v>
      </c>
    </row>
    <row r="31" spans="1:7" x14ac:dyDescent="0.2">
      <c r="A31" t="s">
        <v>277</v>
      </c>
      <c r="B31" t="s">
        <v>1056</v>
      </c>
      <c r="C31" t="s">
        <v>1057</v>
      </c>
      <c r="D31" t="s">
        <v>1057</v>
      </c>
      <c r="E31" t="s">
        <v>1023</v>
      </c>
      <c r="F31" t="s">
        <v>1023</v>
      </c>
    </row>
    <row r="32" spans="1:7" x14ac:dyDescent="0.2">
      <c r="A32" t="s">
        <v>112</v>
      </c>
      <c r="B32" t="s">
        <v>1058</v>
      </c>
      <c r="C32" t="s">
        <v>1059</v>
      </c>
      <c r="D32" t="s">
        <v>1060</v>
      </c>
      <c r="E32" t="s">
        <v>1061</v>
      </c>
      <c r="F32" t="s">
        <v>1017</v>
      </c>
    </row>
    <row r="34" spans="1:6" x14ac:dyDescent="0.2">
      <c r="A34" s="2" t="s">
        <v>1062</v>
      </c>
    </row>
    <row r="35" spans="1:6" ht="16" x14ac:dyDescent="0.2">
      <c r="A35" s="3" t="s">
        <v>28</v>
      </c>
      <c r="B35" s="3" t="s">
        <v>271</v>
      </c>
      <c r="C35" s="3" t="s">
        <v>1043</v>
      </c>
      <c r="D35" s="3" t="s">
        <v>1044</v>
      </c>
      <c r="E35" s="3" t="s">
        <v>1045</v>
      </c>
      <c r="F35" s="3" t="s">
        <v>1046</v>
      </c>
    </row>
    <row r="36" spans="1:6" x14ac:dyDescent="0.2">
      <c r="A36" t="s">
        <v>276</v>
      </c>
      <c r="B36" t="s">
        <v>1063</v>
      </c>
      <c r="C36" t="s">
        <v>1064</v>
      </c>
      <c r="D36" t="s">
        <v>1065</v>
      </c>
      <c r="E36" t="s">
        <v>1066</v>
      </c>
      <c r="F36" t="s">
        <v>1004</v>
      </c>
    </row>
    <row r="37" spans="1:6" x14ac:dyDescent="0.2">
      <c r="A37" t="s">
        <v>103</v>
      </c>
      <c r="B37" t="s">
        <v>1067</v>
      </c>
      <c r="C37" t="s">
        <v>1068</v>
      </c>
      <c r="D37" t="s">
        <v>1068</v>
      </c>
      <c r="E37" t="s">
        <v>1006</v>
      </c>
      <c r="F37" t="s">
        <v>1014</v>
      </c>
    </row>
    <row r="38" spans="1:6" x14ac:dyDescent="0.2">
      <c r="A38" t="s">
        <v>31</v>
      </c>
      <c r="B38" t="s">
        <v>1067</v>
      </c>
      <c r="C38" t="s">
        <v>1069</v>
      </c>
      <c r="D38" t="s">
        <v>1069</v>
      </c>
      <c r="E38" t="s">
        <v>1070</v>
      </c>
      <c r="F38" t="s">
        <v>1010</v>
      </c>
    </row>
    <row r="39" spans="1:6" x14ac:dyDescent="0.2">
      <c r="A39" t="s">
        <v>277</v>
      </c>
      <c r="B39" t="s">
        <v>1071</v>
      </c>
      <c r="C39" t="s">
        <v>1057</v>
      </c>
      <c r="D39" t="s">
        <v>1057</v>
      </c>
      <c r="E39" t="s">
        <v>1025</v>
      </c>
      <c r="F39" t="s">
        <v>1025</v>
      </c>
    </row>
    <row r="40" spans="1:6" x14ac:dyDescent="0.2">
      <c r="A40" t="s">
        <v>112</v>
      </c>
      <c r="B40" t="s">
        <v>1072</v>
      </c>
      <c r="C40" t="s">
        <v>1060</v>
      </c>
      <c r="D40" t="s">
        <v>1073</v>
      </c>
      <c r="E40" t="s">
        <v>1074</v>
      </c>
      <c r="F40" t="s">
        <v>1019</v>
      </c>
    </row>
    <row r="42" spans="1:6" x14ac:dyDescent="0.2">
      <c r="A42" s="2" t="s">
        <v>1075</v>
      </c>
    </row>
    <row r="43" spans="1:6" ht="16" x14ac:dyDescent="0.2">
      <c r="A43" s="3" t="s">
        <v>28</v>
      </c>
      <c r="B43" s="3" t="s">
        <v>271</v>
      </c>
      <c r="C43" s="3" t="s">
        <v>1043</v>
      </c>
      <c r="D43" s="3" t="s">
        <v>1044</v>
      </c>
      <c r="E43" s="3" t="s">
        <v>1045</v>
      </c>
      <c r="F43" s="3" t="s">
        <v>1046</v>
      </c>
    </row>
    <row r="44" spans="1:6" x14ac:dyDescent="0.2">
      <c r="A44" t="s">
        <v>276</v>
      </c>
      <c r="B44" t="s">
        <v>1076</v>
      </c>
      <c r="C44" t="s">
        <v>1049</v>
      </c>
      <c r="D44" t="s">
        <v>1077</v>
      </c>
      <c r="E44" t="s">
        <v>1078</v>
      </c>
      <c r="F44" t="s">
        <v>1006</v>
      </c>
    </row>
    <row r="45" spans="1:6" x14ac:dyDescent="0.2">
      <c r="A45" t="s">
        <v>103</v>
      </c>
      <c r="B45" t="s">
        <v>1067</v>
      </c>
      <c r="C45" t="s">
        <v>1048</v>
      </c>
      <c r="D45" t="s">
        <v>1048</v>
      </c>
      <c r="E45" t="s">
        <v>1021</v>
      </c>
      <c r="F45" t="s">
        <v>539</v>
      </c>
    </row>
    <row r="46" spans="1:6" x14ac:dyDescent="0.2">
      <c r="A46" t="s">
        <v>31</v>
      </c>
      <c r="B46" t="s">
        <v>1067</v>
      </c>
      <c r="C46" t="s">
        <v>1079</v>
      </c>
      <c r="D46" t="s">
        <v>1079</v>
      </c>
      <c r="E46" t="s">
        <v>1080</v>
      </c>
      <c r="F46" t="s">
        <v>538</v>
      </c>
    </row>
    <row r="47" spans="1:6" x14ac:dyDescent="0.2">
      <c r="A47" t="s">
        <v>277</v>
      </c>
      <c r="B47" t="s">
        <v>1081</v>
      </c>
      <c r="C47" t="s">
        <v>1057</v>
      </c>
      <c r="D47" t="s">
        <v>1057</v>
      </c>
      <c r="E47" t="s">
        <v>1027</v>
      </c>
      <c r="F47" t="s">
        <v>1027</v>
      </c>
    </row>
    <row r="48" spans="1:6" x14ac:dyDescent="0.2">
      <c r="A48" t="s">
        <v>112</v>
      </c>
      <c r="B48" t="s">
        <v>1072</v>
      </c>
      <c r="C48" t="s">
        <v>1073</v>
      </c>
      <c r="D48" t="s">
        <v>1082</v>
      </c>
      <c r="E48" t="s">
        <v>1083</v>
      </c>
      <c r="F48" t="s">
        <v>1021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G54"/>
  <sheetViews>
    <sheetView topLeftCell="A11" workbookViewId="0"/>
  </sheetViews>
  <sheetFormatPr baseColWidth="10" defaultColWidth="8.83203125" defaultRowHeight="15" x14ac:dyDescent="0.2"/>
  <cols>
    <col min="1" max="1" width="12" customWidth="1"/>
    <col min="2" max="2" width="25" customWidth="1"/>
    <col min="3" max="4" width="15" customWidth="1"/>
    <col min="5" max="5" width="18" customWidth="1"/>
    <col min="6" max="6" width="15" customWidth="1"/>
    <col min="7" max="7" width="18" customWidth="1"/>
  </cols>
  <sheetData>
    <row r="1" spans="1:7" ht="19" x14ac:dyDescent="0.25">
      <c r="A1" s="4" t="s">
        <v>1084</v>
      </c>
    </row>
    <row r="2" spans="1:7" x14ac:dyDescent="0.2">
      <c r="A2" s="5" t="s">
        <v>1085</v>
      </c>
    </row>
    <row r="4" spans="1:7" ht="16" x14ac:dyDescent="0.2">
      <c r="A4" s="1" t="s">
        <v>1086</v>
      </c>
    </row>
    <row r="6" spans="1:7" x14ac:dyDescent="0.2">
      <c r="A6" s="2" t="s">
        <v>150</v>
      </c>
      <c r="B6">
        <v>248</v>
      </c>
    </row>
    <row r="7" spans="1:7" x14ac:dyDescent="0.2">
      <c r="A7" s="2" t="s">
        <v>1087</v>
      </c>
      <c r="B7">
        <v>39</v>
      </c>
    </row>
    <row r="8" spans="1:7" x14ac:dyDescent="0.2">
      <c r="A8" s="2" t="s">
        <v>1088</v>
      </c>
      <c r="B8">
        <v>37</v>
      </c>
    </row>
    <row r="9" spans="1:7" x14ac:dyDescent="0.2">
      <c r="A9" s="2" t="s">
        <v>1089</v>
      </c>
      <c r="B9">
        <v>190</v>
      </c>
    </row>
    <row r="10" spans="1:7" x14ac:dyDescent="0.2">
      <c r="A10" s="2" t="s">
        <v>1090</v>
      </c>
      <c r="B10" t="s">
        <v>1091</v>
      </c>
    </row>
    <row r="13" spans="1:7" ht="16" x14ac:dyDescent="0.2">
      <c r="A13" s="1" t="s">
        <v>1092</v>
      </c>
    </row>
    <row r="15" spans="1:7" ht="16" x14ac:dyDescent="0.2">
      <c r="A15" s="3" t="s">
        <v>745</v>
      </c>
      <c r="B15" s="3" t="s">
        <v>746</v>
      </c>
      <c r="C15" s="3" t="s">
        <v>158</v>
      </c>
      <c r="D15" s="3" t="s">
        <v>191</v>
      </c>
      <c r="E15" s="3" t="s">
        <v>726</v>
      </c>
      <c r="F15" s="3" t="s">
        <v>271</v>
      </c>
      <c r="G15" s="3" t="s">
        <v>28</v>
      </c>
    </row>
    <row r="16" spans="1:7" x14ac:dyDescent="0.2">
      <c r="A16">
        <v>1</v>
      </c>
      <c r="B16" t="s">
        <v>777</v>
      </c>
      <c r="C16" t="s">
        <v>161</v>
      </c>
      <c r="D16" t="s">
        <v>192</v>
      </c>
      <c r="E16" t="s">
        <v>732</v>
      </c>
      <c r="F16" t="s">
        <v>1093</v>
      </c>
      <c r="G16" t="s">
        <v>31</v>
      </c>
    </row>
    <row r="17" spans="1:7" x14ac:dyDescent="0.2">
      <c r="A17">
        <v>2</v>
      </c>
      <c r="B17" t="s">
        <v>762</v>
      </c>
      <c r="C17" t="s">
        <v>164</v>
      </c>
      <c r="D17" t="s">
        <v>206</v>
      </c>
      <c r="E17" t="s">
        <v>728</v>
      </c>
      <c r="F17" t="s">
        <v>1094</v>
      </c>
      <c r="G17" t="s">
        <v>34</v>
      </c>
    </row>
    <row r="18" spans="1:7" x14ac:dyDescent="0.2">
      <c r="A18">
        <v>3</v>
      </c>
      <c r="B18" t="s">
        <v>750</v>
      </c>
      <c r="C18" t="s">
        <v>164</v>
      </c>
      <c r="D18" t="s">
        <v>192</v>
      </c>
      <c r="E18" t="s">
        <v>732</v>
      </c>
      <c r="F18" t="s">
        <v>1095</v>
      </c>
      <c r="G18" t="s">
        <v>31</v>
      </c>
    </row>
    <row r="19" spans="1:7" x14ac:dyDescent="0.2">
      <c r="A19">
        <v>4</v>
      </c>
      <c r="B19" t="s">
        <v>815</v>
      </c>
      <c r="C19" t="s">
        <v>167</v>
      </c>
      <c r="D19" t="s">
        <v>206</v>
      </c>
      <c r="E19" t="s">
        <v>728</v>
      </c>
      <c r="F19" t="s">
        <v>1096</v>
      </c>
      <c r="G19" t="s">
        <v>34</v>
      </c>
    </row>
    <row r="20" spans="1:7" x14ac:dyDescent="0.2">
      <c r="A20">
        <v>5</v>
      </c>
      <c r="B20" t="s">
        <v>752</v>
      </c>
      <c r="C20" t="s">
        <v>164</v>
      </c>
      <c r="D20" t="s">
        <v>192</v>
      </c>
      <c r="E20" t="s">
        <v>732</v>
      </c>
      <c r="F20" t="s">
        <v>1097</v>
      </c>
      <c r="G20" t="s">
        <v>31</v>
      </c>
    </row>
    <row r="21" spans="1:7" x14ac:dyDescent="0.2">
      <c r="A21">
        <v>6</v>
      </c>
      <c r="B21" t="s">
        <v>754</v>
      </c>
      <c r="C21" t="s">
        <v>161</v>
      </c>
      <c r="D21" t="s">
        <v>192</v>
      </c>
      <c r="E21" t="s">
        <v>732</v>
      </c>
      <c r="F21" t="s">
        <v>1098</v>
      </c>
      <c r="G21" t="s">
        <v>31</v>
      </c>
    </row>
    <row r="22" spans="1:7" x14ac:dyDescent="0.2">
      <c r="A22">
        <v>7</v>
      </c>
      <c r="B22" t="s">
        <v>752</v>
      </c>
      <c r="C22" t="s">
        <v>161</v>
      </c>
      <c r="D22" t="s">
        <v>196</v>
      </c>
      <c r="E22" t="s">
        <v>732</v>
      </c>
      <c r="F22" t="s">
        <v>1099</v>
      </c>
      <c r="G22" t="s">
        <v>31</v>
      </c>
    </row>
    <row r="23" spans="1:7" x14ac:dyDescent="0.2">
      <c r="A23">
        <v>8</v>
      </c>
      <c r="B23" t="s">
        <v>777</v>
      </c>
      <c r="C23" t="s">
        <v>161</v>
      </c>
      <c r="D23" t="s">
        <v>196</v>
      </c>
      <c r="E23" t="s">
        <v>732</v>
      </c>
      <c r="F23" t="s">
        <v>1100</v>
      </c>
      <c r="G23" t="s">
        <v>31</v>
      </c>
    </row>
    <row r="24" spans="1:7" x14ac:dyDescent="0.2">
      <c r="A24">
        <v>9</v>
      </c>
      <c r="B24" t="s">
        <v>754</v>
      </c>
      <c r="C24" t="s">
        <v>164</v>
      </c>
      <c r="D24" t="s">
        <v>192</v>
      </c>
      <c r="E24" t="s">
        <v>732</v>
      </c>
      <c r="F24" t="s">
        <v>1101</v>
      </c>
      <c r="G24" t="s">
        <v>31</v>
      </c>
    </row>
    <row r="25" spans="1:7" x14ac:dyDescent="0.2">
      <c r="A25">
        <v>10</v>
      </c>
      <c r="B25" t="s">
        <v>752</v>
      </c>
      <c r="C25" t="s">
        <v>161</v>
      </c>
      <c r="D25" t="s">
        <v>192</v>
      </c>
      <c r="E25" t="s">
        <v>732</v>
      </c>
      <c r="F25" t="s">
        <v>1102</v>
      </c>
      <c r="G25" t="s">
        <v>31</v>
      </c>
    </row>
    <row r="26" spans="1:7" x14ac:dyDescent="0.2">
      <c r="A26">
        <v>11</v>
      </c>
      <c r="B26" t="s">
        <v>750</v>
      </c>
      <c r="C26" t="s">
        <v>164</v>
      </c>
      <c r="D26" t="s">
        <v>196</v>
      </c>
      <c r="E26" t="s">
        <v>732</v>
      </c>
      <c r="F26" t="s">
        <v>1103</v>
      </c>
      <c r="G26" t="s">
        <v>31</v>
      </c>
    </row>
    <row r="27" spans="1:7" x14ac:dyDescent="0.2">
      <c r="A27">
        <v>12</v>
      </c>
      <c r="B27" t="s">
        <v>761</v>
      </c>
      <c r="C27" t="s">
        <v>170</v>
      </c>
      <c r="D27" t="s">
        <v>192</v>
      </c>
      <c r="E27" t="s">
        <v>732</v>
      </c>
      <c r="F27" t="s">
        <v>1104</v>
      </c>
      <c r="G27" t="s">
        <v>31</v>
      </c>
    </row>
    <row r="28" spans="1:7" x14ac:dyDescent="0.2">
      <c r="A28">
        <v>13</v>
      </c>
      <c r="B28" t="s">
        <v>758</v>
      </c>
      <c r="C28" t="s">
        <v>161</v>
      </c>
      <c r="D28" t="s">
        <v>192</v>
      </c>
      <c r="E28" t="s">
        <v>732</v>
      </c>
      <c r="F28" t="s">
        <v>1104</v>
      </c>
      <c r="G28" t="s">
        <v>31</v>
      </c>
    </row>
    <row r="29" spans="1:7" x14ac:dyDescent="0.2">
      <c r="A29">
        <v>14</v>
      </c>
      <c r="B29" t="s">
        <v>762</v>
      </c>
      <c r="C29" t="s">
        <v>164</v>
      </c>
      <c r="D29" t="s">
        <v>192</v>
      </c>
      <c r="E29" t="s">
        <v>732</v>
      </c>
      <c r="F29" t="s">
        <v>1105</v>
      </c>
      <c r="G29" t="s">
        <v>31</v>
      </c>
    </row>
    <row r="30" spans="1:7" x14ac:dyDescent="0.2">
      <c r="A30">
        <v>15</v>
      </c>
      <c r="B30" t="s">
        <v>758</v>
      </c>
      <c r="C30" t="s">
        <v>161</v>
      </c>
      <c r="D30" t="s">
        <v>196</v>
      </c>
      <c r="E30" t="s">
        <v>732</v>
      </c>
      <c r="F30" t="s">
        <v>1106</v>
      </c>
      <c r="G30" t="s">
        <v>31</v>
      </c>
    </row>
    <row r="31" spans="1:7" x14ac:dyDescent="0.2">
      <c r="A31">
        <v>16</v>
      </c>
      <c r="B31" t="s">
        <v>764</v>
      </c>
      <c r="C31" t="s">
        <v>170</v>
      </c>
      <c r="D31" t="s">
        <v>196</v>
      </c>
      <c r="E31" t="s">
        <v>732</v>
      </c>
      <c r="F31" t="s">
        <v>1107</v>
      </c>
      <c r="G31" t="s">
        <v>31</v>
      </c>
    </row>
    <row r="32" spans="1:7" x14ac:dyDescent="0.2">
      <c r="A32">
        <v>17</v>
      </c>
      <c r="B32" t="s">
        <v>764</v>
      </c>
      <c r="C32" t="s">
        <v>170</v>
      </c>
      <c r="D32" t="s">
        <v>206</v>
      </c>
      <c r="E32" t="s">
        <v>728</v>
      </c>
      <c r="F32" t="s">
        <v>1108</v>
      </c>
      <c r="G32" t="s">
        <v>34</v>
      </c>
    </row>
    <row r="33" spans="1:7" x14ac:dyDescent="0.2">
      <c r="A33">
        <v>18</v>
      </c>
      <c r="B33" t="s">
        <v>815</v>
      </c>
      <c r="C33" t="s">
        <v>167</v>
      </c>
      <c r="D33" t="s">
        <v>192</v>
      </c>
      <c r="E33" t="s">
        <v>732</v>
      </c>
      <c r="F33" t="s">
        <v>1109</v>
      </c>
      <c r="G33" t="s">
        <v>31</v>
      </c>
    </row>
    <row r="34" spans="1:7" x14ac:dyDescent="0.2">
      <c r="A34">
        <v>19</v>
      </c>
      <c r="B34" t="s">
        <v>752</v>
      </c>
      <c r="C34" t="s">
        <v>164</v>
      </c>
      <c r="D34" t="s">
        <v>196</v>
      </c>
      <c r="E34" t="s">
        <v>732</v>
      </c>
      <c r="F34" t="s">
        <v>1110</v>
      </c>
      <c r="G34" t="s">
        <v>31</v>
      </c>
    </row>
    <row r="35" spans="1:7" x14ac:dyDescent="0.2">
      <c r="A35">
        <v>20</v>
      </c>
      <c r="B35" t="s">
        <v>754</v>
      </c>
      <c r="C35" t="s">
        <v>161</v>
      </c>
      <c r="D35" t="s">
        <v>196</v>
      </c>
      <c r="E35" t="s">
        <v>732</v>
      </c>
      <c r="F35" t="s">
        <v>1111</v>
      </c>
      <c r="G35" t="s">
        <v>31</v>
      </c>
    </row>
    <row r="38" spans="1:7" ht="16" x14ac:dyDescent="0.2">
      <c r="A38" s="1" t="s">
        <v>1112</v>
      </c>
    </row>
    <row r="40" spans="1:7" ht="32" x14ac:dyDescent="0.2">
      <c r="A40" s="3" t="s">
        <v>374</v>
      </c>
      <c r="B40" s="3" t="s">
        <v>375</v>
      </c>
      <c r="C40" s="3" t="s">
        <v>1090</v>
      </c>
      <c r="D40" s="3" t="s">
        <v>160</v>
      </c>
    </row>
    <row r="41" spans="1:7" x14ac:dyDescent="0.2">
      <c r="A41" t="s">
        <v>161</v>
      </c>
      <c r="B41">
        <v>87</v>
      </c>
      <c r="C41" t="s">
        <v>1113</v>
      </c>
      <c r="D41" t="s">
        <v>1114</v>
      </c>
    </row>
    <row r="42" spans="1:7" x14ac:dyDescent="0.2">
      <c r="A42" t="s">
        <v>164</v>
      </c>
      <c r="B42">
        <v>57</v>
      </c>
      <c r="C42" t="s">
        <v>1115</v>
      </c>
      <c r="D42" t="s">
        <v>1116</v>
      </c>
    </row>
    <row r="43" spans="1:7" x14ac:dyDescent="0.2">
      <c r="A43" t="s">
        <v>167</v>
      </c>
      <c r="B43">
        <v>71</v>
      </c>
      <c r="C43" t="s">
        <v>1117</v>
      </c>
      <c r="D43" t="s">
        <v>1118</v>
      </c>
    </row>
    <row r="44" spans="1:7" x14ac:dyDescent="0.2">
      <c r="A44" t="s">
        <v>170</v>
      </c>
      <c r="B44">
        <v>14</v>
      </c>
      <c r="C44" t="s">
        <v>1119</v>
      </c>
      <c r="D44" t="s">
        <v>1120</v>
      </c>
    </row>
    <row r="45" spans="1:7" x14ac:dyDescent="0.2">
      <c r="A45" t="s">
        <v>173</v>
      </c>
      <c r="B45">
        <v>2</v>
      </c>
      <c r="C45" t="s">
        <v>1121</v>
      </c>
      <c r="D45" t="s">
        <v>181</v>
      </c>
    </row>
    <row r="46" spans="1:7" x14ac:dyDescent="0.2">
      <c r="A46" t="s">
        <v>179</v>
      </c>
      <c r="B46">
        <v>3</v>
      </c>
      <c r="C46" t="s">
        <v>1122</v>
      </c>
      <c r="D46" t="s">
        <v>187</v>
      </c>
    </row>
    <row r="47" spans="1:7" x14ac:dyDescent="0.2">
      <c r="A47" t="s">
        <v>176</v>
      </c>
      <c r="B47">
        <v>1</v>
      </c>
      <c r="C47" t="s">
        <v>1081</v>
      </c>
      <c r="D47" t="s">
        <v>397</v>
      </c>
    </row>
    <row r="48" spans="1:7" x14ac:dyDescent="0.2">
      <c r="A48" t="s">
        <v>182</v>
      </c>
      <c r="B48">
        <v>3</v>
      </c>
      <c r="C48" t="s">
        <v>1081</v>
      </c>
      <c r="D48" t="s">
        <v>397</v>
      </c>
    </row>
    <row r="49" spans="1:4" x14ac:dyDescent="0.2">
      <c r="A49" t="s">
        <v>185</v>
      </c>
      <c r="B49">
        <v>3</v>
      </c>
      <c r="C49" t="s">
        <v>1081</v>
      </c>
      <c r="D49" t="s">
        <v>397</v>
      </c>
    </row>
    <row r="50" spans="1:4" x14ac:dyDescent="0.2">
      <c r="A50" t="s">
        <v>188</v>
      </c>
      <c r="B50">
        <v>2</v>
      </c>
      <c r="C50" t="s">
        <v>1081</v>
      </c>
      <c r="D50" t="s">
        <v>397</v>
      </c>
    </row>
    <row r="51" spans="1:4" x14ac:dyDescent="0.2">
      <c r="A51" t="s">
        <v>1123</v>
      </c>
      <c r="B51">
        <v>1</v>
      </c>
      <c r="C51" t="s">
        <v>1081</v>
      </c>
      <c r="D51" t="s">
        <v>397</v>
      </c>
    </row>
    <row r="52" spans="1:4" x14ac:dyDescent="0.2">
      <c r="A52" t="s">
        <v>394</v>
      </c>
      <c r="B52">
        <v>2</v>
      </c>
      <c r="C52" t="s">
        <v>1081</v>
      </c>
      <c r="D52" t="s">
        <v>397</v>
      </c>
    </row>
    <row r="53" spans="1:4" x14ac:dyDescent="0.2">
      <c r="A53" t="s">
        <v>395</v>
      </c>
      <c r="B53">
        <v>1</v>
      </c>
      <c r="C53" t="s">
        <v>1081</v>
      </c>
      <c r="D53" t="s">
        <v>397</v>
      </c>
    </row>
    <row r="54" spans="1:4" x14ac:dyDescent="0.2">
      <c r="A54" t="s">
        <v>398</v>
      </c>
      <c r="B54">
        <v>1</v>
      </c>
      <c r="C54" t="s">
        <v>1081</v>
      </c>
      <c r="D54" t="s">
        <v>397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G95"/>
  <sheetViews>
    <sheetView workbookViewId="0"/>
  </sheetViews>
  <sheetFormatPr baseColWidth="10" defaultColWidth="8.83203125" defaultRowHeight="15" x14ac:dyDescent="0.2"/>
  <cols>
    <col min="1" max="1" width="12" customWidth="1"/>
    <col min="2" max="2" width="15" customWidth="1"/>
    <col min="3" max="3" width="25" customWidth="1"/>
    <col min="4" max="4" width="12" customWidth="1"/>
    <col min="5" max="5" width="14" customWidth="1"/>
    <col min="6" max="7" width="12" customWidth="1"/>
  </cols>
  <sheetData>
    <row r="1" spans="1:7" ht="19" x14ac:dyDescent="0.25">
      <c r="A1" s="4" t="s">
        <v>1124</v>
      </c>
    </row>
    <row r="3" spans="1:7" ht="16" x14ac:dyDescent="0.2">
      <c r="A3" s="1" t="s">
        <v>1125</v>
      </c>
    </row>
    <row r="5" spans="1:7" x14ac:dyDescent="0.2">
      <c r="A5" s="2" t="s">
        <v>150</v>
      </c>
      <c r="B5">
        <v>262</v>
      </c>
    </row>
    <row r="6" spans="1:7" x14ac:dyDescent="0.2">
      <c r="A6" s="2" t="s">
        <v>1126</v>
      </c>
      <c r="B6">
        <v>43</v>
      </c>
    </row>
    <row r="7" spans="1:7" x14ac:dyDescent="0.2">
      <c r="A7" s="2" t="s">
        <v>250</v>
      </c>
      <c r="B7" t="s">
        <v>1127</v>
      </c>
    </row>
    <row r="8" spans="1:7" x14ac:dyDescent="0.2">
      <c r="A8" s="2" t="s">
        <v>471</v>
      </c>
      <c r="B8" t="s">
        <v>1128</v>
      </c>
    </row>
    <row r="9" spans="1:7" x14ac:dyDescent="0.2">
      <c r="A9" s="2" t="s">
        <v>1129</v>
      </c>
      <c r="B9" t="s">
        <v>1130</v>
      </c>
    </row>
    <row r="10" spans="1:7" x14ac:dyDescent="0.2">
      <c r="A10" s="2" t="s">
        <v>1131</v>
      </c>
      <c r="B10" t="s">
        <v>1081</v>
      </c>
    </row>
    <row r="11" spans="1:7" x14ac:dyDescent="0.2">
      <c r="A11" s="2" t="s">
        <v>1132</v>
      </c>
      <c r="B11" t="s">
        <v>562</v>
      </c>
    </row>
    <row r="14" spans="1:7" ht="16" x14ac:dyDescent="0.2">
      <c r="A14" s="1" t="s">
        <v>1133</v>
      </c>
    </row>
    <row r="16" spans="1:7" ht="16" x14ac:dyDescent="0.2">
      <c r="A16" s="3" t="s">
        <v>1134</v>
      </c>
      <c r="B16" s="3" t="s">
        <v>191</v>
      </c>
      <c r="C16" s="3" t="s">
        <v>746</v>
      </c>
      <c r="D16" s="3" t="s">
        <v>158</v>
      </c>
      <c r="E16" s="3" t="s">
        <v>159</v>
      </c>
      <c r="F16" s="3" t="s">
        <v>809</v>
      </c>
      <c r="G16" s="3" t="s">
        <v>810</v>
      </c>
    </row>
    <row r="17" spans="1:7" x14ac:dyDescent="0.2">
      <c r="A17">
        <v>1</v>
      </c>
      <c r="B17" t="s">
        <v>192</v>
      </c>
      <c r="C17" t="s">
        <v>748</v>
      </c>
      <c r="D17" t="s">
        <v>170</v>
      </c>
      <c r="E17" t="s">
        <v>749</v>
      </c>
      <c r="F17">
        <v>2026</v>
      </c>
      <c r="G17">
        <v>-1</v>
      </c>
    </row>
    <row r="18" spans="1:7" x14ac:dyDescent="0.2">
      <c r="A18">
        <v>2</v>
      </c>
      <c r="B18" t="s">
        <v>192</v>
      </c>
      <c r="C18" t="s">
        <v>748</v>
      </c>
      <c r="D18" t="s">
        <v>170</v>
      </c>
      <c r="E18" t="s">
        <v>749</v>
      </c>
      <c r="F18">
        <v>2026</v>
      </c>
      <c r="G18">
        <v>-1</v>
      </c>
    </row>
    <row r="19" spans="1:7" x14ac:dyDescent="0.2">
      <c r="A19">
        <v>3</v>
      </c>
      <c r="B19" t="s">
        <v>192</v>
      </c>
      <c r="C19" t="s">
        <v>748</v>
      </c>
      <c r="D19" t="s">
        <v>170</v>
      </c>
      <c r="E19" t="s">
        <v>749</v>
      </c>
      <c r="F19">
        <v>2026</v>
      </c>
      <c r="G19">
        <v>-1</v>
      </c>
    </row>
    <row r="20" spans="1:7" x14ac:dyDescent="0.2">
      <c r="A20">
        <v>4</v>
      </c>
      <c r="B20" t="s">
        <v>192</v>
      </c>
      <c r="C20" t="s">
        <v>748</v>
      </c>
      <c r="D20" t="s">
        <v>170</v>
      </c>
      <c r="E20" t="s">
        <v>749</v>
      </c>
      <c r="F20">
        <v>2026</v>
      </c>
      <c r="G20">
        <v>-1</v>
      </c>
    </row>
    <row r="21" spans="1:7" x14ac:dyDescent="0.2">
      <c r="A21">
        <v>5</v>
      </c>
      <c r="B21" t="s">
        <v>192</v>
      </c>
      <c r="C21" t="s">
        <v>750</v>
      </c>
      <c r="D21" t="s">
        <v>164</v>
      </c>
      <c r="E21" t="s">
        <v>751</v>
      </c>
      <c r="F21">
        <v>1991</v>
      </c>
      <c r="G21">
        <v>34</v>
      </c>
    </row>
    <row r="22" spans="1:7" x14ac:dyDescent="0.2">
      <c r="A22">
        <v>6</v>
      </c>
      <c r="B22" t="s">
        <v>196</v>
      </c>
      <c r="C22" t="s">
        <v>752</v>
      </c>
      <c r="D22" t="s">
        <v>161</v>
      </c>
      <c r="E22" t="s">
        <v>753</v>
      </c>
      <c r="F22">
        <v>2021</v>
      </c>
      <c r="G22">
        <v>4</v>
      </c>
    </row>
    <row r="23" spans="1:7" x14ac:dyDescent="0.2">
      <c r="A23">
        <v>7</v>
      </c>
      <c r="B23" t="s">
        <v>192</v>
      </c>
      <c r="C23" t="s">
        <v>752</v>
      </c>
      <c r="D23" t="s">
        <v>164</v>
      </c>
      <c r="E23" t="s">
        <v>753</v>
      </c>
      <c r="F23">
        <v>1991</v>
      </c>
      <c r="G23">
        <v>34</v>
      </c>
    </row>
    <row r="24" spans="1:7" x14ac:dyDescent="0.2">
      <c r="A24">
        <v>8</v>
      </c>
      <c r="B24" t="s">
        <v>192</v>
      </c>
      <c r="C24" t="s">
        <v>754</v>
      </c>
      <c r="D24" t="s">
        <v>161</v>
      </c>
      <c r="E24" t="s">
        <v>755</v>
      </c>
      <c r="F24">
        <v>1992</v>
      </c>
      <c r="G24">
        <v>33</v>
      </c>
    </row>
    <row r="25" spans="1:7" x14ac:dyDescent="0.2">
      <c r="A25">
        <v>9</v>
      </c>
      <c r="B25" t="s">
        <v>196</v>
      </c>
      <c r="C25" t="s">
        <v>750</v>
      </c>
      <c r="D25" t="s">
        <v>164</v>
      </c>
      <c r="E25" t="s">
        <v>756</v>
      </c>
      <c r="F25">
        <v>1991</v>
      </c>
      <c r="G25">
        <v>34</v>
      </c>
    </row>
    <row r="26" spans="1:7" x14ac:dyDescent="0.2">
      <c r="A26">
        <v>10</v>
      </c>
      <c r="B26" t="s">
        <v>192</v>
      </c>
      <c r="C26" t="s">
        <v>752</v>
      </c>
      <c r="D26" t="s">
        <v>161</v>
      </c>
      <c r="E26" t="s">
        <v>757</v>
      </c>
      <c r="F26">
        <v>2021</v>
      </c>
      <c r="G26">
        <v>4</v>
      </c>
    </row>
    <row r="27" spans="1:7" x14ac:dyDescent="0.2">
      <c r="A27">
        <v>11</v>
      </c>
      <c r="B27" t="s">
        <v>196</v>
      </c>
      <c r="C27" t="s">
        <v>758</v>
      </c>
      <c r="D27" t="s">
        <v>161</v>
      </c>
      <c r="E27" t="s">
        <v>759</v>
      </c>
      <c r="F27">
        <v>2021</v>
      </c>
      <c r="G27">
        <v>4</v>
      </c>
    </row>
    <row r="28" spans="1:7" x14ac:dyDescent="0.2">
      <c r="A28">
        <v>12</v>
      </c>
      <c r="B28" t="s">
        <v>192</v>
      </c>
      <c r="C28" t="s">
        <v>758</v>
      </c>
      <c r="D28" t="s">
        <v>161</v>
      </c>
      <c r="E28" t="s">
        <v>760</v>
      </c>
      <c r="F28">
        <v>2021</v>
      </c>
      <c r="G28">
        <v>4</v>
      </c>
    </row>
    <row r="29" spans="1:7" x14ac:dyDescent="0.2">
      <c r="A29">
        <v>13</v>
      </c>
      <c r="B29" t="s">
        <v>192</v>
      </c>
      <c r="C29" t="s">
        <v>761</v>
      </c>
      <c r="D29" t="s">
        <v>170</v>
      </c>
      <c r="E29" t="s">
        <v>760</v>
      </c>
      <c r="F29">
        <v>1991</v>
      </c>
      <c r="G29">
        <v>34</v>
      </c>
    </row>
    <row r="30" spans="1:7" x14ac:dyDescent="0.2">
      <c r="A30">
        <v>14</v>
      </c>
      <c r="B30" t="s">
        <v>192</v>
      </c>
      <c r="C30" t="s">
        <v>762</v>
      </c>
      <c r="D30" t="s">
        <v>164</v>
      </c>
      <c r="E30" t="s">
        <v>763</v>
      </c>
      <c r="F30">
        <v>2021</v>
      </c>
      <c r="G30">
        <v>4</v>
      </c>
    </row>
    <row r="31" spans="1:7" x14ac:dyDescent="0.2">
      <c r="A31">
        <v>15</v>
      </c>
      <c r="B31" t="s">
        <v>196</v>
      </c>
      <c r="C31" t="s">
        <v>764</v>
      </c>
      <c r="D31" t="s">
        <v>170</v>
      </c>
      <c r="E31" t="s">
        <v>765</v>
      </c>
      <c r="F31">
        <v>2018</v>
      </c>
      <c r="G31">
        <v>7</v>
      </c>
    </row>
    <row r="32" spans="1:7" x14ac:dyDescent="0.2">
      <c r="A32">
        <v>16</v>
      </c>
      <c r="B32" t="s">
        <v>196</v>
      </c>
      <c r="C32" t="s">
        <v>748</v>
      </c>
      <c r="D32" t="s">
        <v>170</v>
      </c>
      <c r="E32" t="s">
        <v>766</v>
      </c>
      <c r="F32">
        <v>2026</v>
      </c>
      <c r="G32">
        <v>-1</v>
      </c>
    </row>
    <row r="33" spans="1:7" x14ac:dyDescent="0.2">
      <c r="A33">
        <v>17</v>
      </c>
      <c r="B33" t="s">
        <v>196</v>
      </c>
      <c r="C33" t="s">
        <v>748</v>
      </c>
      <c r="D33" t="s">
        <v>170</v>
      </c>
      <c r="E33" t="s">
        <v>766</v>
      </c>
      <c r="F33">
        <v>2026</v>
      </c>
      <c r="G33">
        <v>-1</v>
      </c>
    </row>
    <row r="34" spans="1:7" x14ac:dyDescent="0.2">
      <c r="A34">
        <v>18</v>
      </c>
      <c r="B34" t="s">
        <v>196</v>
      </c>
      <c r="C34" t="s">
        <v>748</v>
      </c>
      <c r="D34" t="s">
        <v>170</v>
      </c>
      <c r="E34" t="s">
        <v>766</v>
      </c>
      <c r="F34">
        <v>2026</v>
      </c>
      <c r="G34">
        <v>-1</v>
      </c>
    </row>
    <row r="35" spans="1:7" x14ac:dyDescent="0.2">
      <c r="A35">
        <v>19</v>
      </c>
      <c r="B35" t="s">
        <v>196</v>
      </c>
      <c r="C35" t="s">
        <v>748</v>
      </c>
      <c r="D35" t="s">
        <v>170</v>
      </c>
      <c r="E35" t="s">
        <v>766</v>
      </c>
      <c r="F35">
        <v>2026</v>
      </c>
      <c r="G35">
        <v>-1</v>
      </c>
    </row>
    <row r="36" spans="1:7" x14ac:dyDescent="0.2">
      <c r="A36">
        <v>20</v>
      </c>
      <c r="B36" t="s">
        <v>196</v>
      </c>
      <c r="C36" t="s">
        <v>752</v>
      </c>
      <c r="D36" t="s">
        <v>164</v>
      </c>
      <c r="E36" t="s">
        <v>767</v>
      </c>
      <c r="F36">
        <v>1991</v>
      </c>
      <c r="G36">
        <v>34</v>
      </c>
    </row>
    <row r="37" spans="1:7" x14ac:dyDescent="0.2">
      <c r="A37">
        <v>21</v>
      </c>
      <c r="B37" t="s">
        <v>196</v>
      </c>
      <c r="C37" t="s">
        <v>754</v>
      </c>
      <c r="D37" t="s">
        <v>161</v>
      </c>
      <c r="E37" t="s">
        <v>768</v>
      </c>
      <c r="F37">
        <v>1992</v>
      </c>
      <c r="G37">
        <v>33</v>
      </c>
    </row>
    <row r="38" spans="1:7" x14ac:dyDescent="0.2">
      <c r="A38">
        <v>22</v>
      </c>
      <c r="B38" t="s">
        <v>196</v>
      </c>
      <c r="C38" t="s">
        <v>769</v>
      </c>
      <c r="D38" t="s">
        <v>167</v>
      </c>
      <c r="E38" t="s">
        <v>770</v>
      </c>
      <c r="F38">
        <v>1996</v>
      </c>
      <c r="G38">
        <v>29</v>
      </c>
    </row>
    <row r="39" spans="1:7" x14ac:dyDescent="0.2">
      <c r="A39">
        <v>23</v>
      </c>
      <c r="B39" t="s">
        <v>196</v>
      </c>
      <c r="C39" t="s">
        <v>771</v>
      </c>
      <c r="D39" t="s">
        <v>167</v>
      </c>
      <c r="E39" t="s">
        <v>772</v>
      </c>
      <c r="F39">
        <v>2016</v>
      </c>
      <c r="G39">
        <v>9</v>
      </c>
    </row>
    <row r="40" spans="1:7" x14ac:dyDescent="0.2">
      <c r="A40">
        <v>24</v>
      </c>
      <c r="B40" t="s">
        <v>196</v>
      </c>
      <c r="C40" t="s">
        <v>754</v>
      </c>
      <c r="D40" t="s">
        <v>164</v>
      </c>
      <c r="E40" t="s">
        <v>773</v>
      </c>
      <c r="F40">
        <v>1997</v>
      </c>
      <c r="G40">
        <v>28</v>
      </c>
    </row>
    <row r="41" spans="1:7" x14ac:dyDescent="0.2">
      <c r="A41">
        <v>25</v>
      </c>
      <c r="B41" t="s">
        <v>196</v>
      </c>
      <c r="C41" t="s">
        <v>762</v>
      </c>
      <c r="D41" t="s">
        <v>164</v>
      </c>
      <c r="E41" t="s">
        <v>774</v>
      </c>
      <c r="F41">
        <v>2021</v>
      </c>
      <c r="G41">
        <v>4</v>
      </c>
    </row>
    <row r="42" spans="1:7" x14ac:dyDescent="0.2">
      <c r="A42">
        <v>26</v>
      </c>
      <c r="B42" t="s">
        <v>196</v>
      </c>
      <c r="C42" t="s">
        <v>775</v>
      </c>
      <c r="D42" t="s">
        <v>164</v>
      </c>
      <c r="E42" t="s">
        <v>776</v>
      </c>
      <c r="F42">
        <v>2011</v>
      </c>
      <c r="G42">
        <v>14</v>
      </c>
    </row>
    <row r="43" spans="1:7" x14ac:dyDescent="0.2">
      <c r="A43">
        <v>27</v>
      </c>
      <c r="B43" t="s">
        <v>216</v>
      </c>
      <c r="C43" t="s">
        <v>777</v>
      </c>
      <c r="D43" t="s">
        <v>161</v>
      </c>
      <c r="E43" t="s">
        <v>778</v>
      </c>
      <c r="F43">
        <v>1992</v>
      </c>
      <c r="G43">
        <v>33</v>
      </c>
    </row>
    <row r="44" spans="1:7" x14ac:dyDescent="0.2">
      <c r="A44">
        <v>28</v>
      </c>
      <c r="B44" t="s">
        <v>216</v>
      </c>
      <c r="C44" t="s">
        <v>752</v>
      </c>
      <c r="D44" t="s">
        <v>161</v>
      </c>
      <c r="E44" t="s">
        <v>779</v>
      </c>
      <c r="F44">
        <v>1991</v>
      </c>
      <c r="G44">
        <v>34</v>
      </c>
    </row>
    <row r="45" spans="1:7" x14ac:dyDescent="0.2">
      <c r="A45">
        <v>29</v>
      </c>
      <c r="B45" t="s">
        <v>196</v>
      </c>
      <c r="C45" t="s">
        <v>780</v>
      </c>
      <c r="D45" t="s">
        <v>167</v>
      </c>
      <c r="E45" t="s">
        <v>781</v>
      </c>
      <c r="F45">
        <v>1997</v>
      </c>
      <c r="G45">
        <v>28</v>
      </c>
    </row>
    <row r="46" spans="1:7" x14ac:dyDescent="0.2">
      <c r="A46">
        <v>30</v>
      </c>
      <c r="B46" t="s">
        <v>216</v>
      </c>
      <c r="C46" t="s">
        <v>748</v>
      </c>
      <c r="D46" t="s">
        <v>170</v>
      </c>
      <c r="E46" t="s">
        <v>782</v>
      </c>
      <c r="F46">
        <v>2026</v>
      </c>
      <c r="G46">
        <v>-1</v>
      </c>
    </row>
    <row r="47" spans="1:7" x14ac:dyDescent="0.2">
      <c r="A47">
        <v>31</v>
      </c>
      <c r="B47" t="s">
        <v>216</v>
      </c>
      <c r="C47" t="s">
        <v>748</v>
      </c>
      <c r="D47" t="s">
        <v>170</v>
      </c>
      <c r="E47" t="s">
        <v>782</v>
      </c>
      <c r="F47">
        <v>2026</v>
      </c>
      <c r="G47">
        <v>-1</v>
      </c>
    </row>
    <row r="48" spans="1:7" x14ac:dyDescent="0.2">
      <c r="A48">
        <v>32</v>
      </c>
      <c r="B48" t="s">
        <v>216</v>
      </c>
      <c r="C48" t="s">
        <v>748</v>
      </c>
      <c r="D48" t="s">
        <v>170</v>
      </c>
      <c r="E48" t="s">
        <v>782</v>
      </c>
      <c r="F48">
        <v>2026</v>
      </c>
      <c r="G48">
        <v>-1</v>
      </c>
    </row>
    <row r="49" spans="1:7" x14ac:dyDescent="0.2">
      <c r="A49">
        <v>33</v>
      </c>
      <c r="B49" t="s">
        <v>216</v>
      </c>
      <c r="C49" t="s">
        <v>748</v>
      </c>
      <c r="D49" t="s">
        <v>170</v>
      </c>
      <c r="E49" t="s">
        <v>782</v>
      </c>
      <c r="F49">
        <v>2026</v>
      </c>
      <c r="G49">
        <v>-1</v>
      </c>
    </row>
    <row r="50" spans="1:7" x14ac:dyDescent="0.2">
      <c r="A50">
        <v>34</v>
      </c>
      <c r="B50" t="s">
        <v>216</v>
      </c>
      <c r="C50" t="s">
        <v>752</v>
      </c>
      <c r="D50" t="s">
        <v>164</v>
      </c>
      <c r="E50" t="s">
        <v>782</v>
      </c>
      <c r="F50">
        <v>1991</v>
      </c>
      <c r="G50">
        <v>34</v>
      </c>
    </row>
    <row r="51" spans="1:7" x14ac:dyDescent="0.2">
      <c r="A51">
        <v>35</v>
      </c>
      <c r="B51" t="s">
        <v>784</v>
      </c>
      <c r="C51" t="s">
        <v>783</v>
      </c>
      <c r="D51" t="s">
        <v>167</v>
      </c>
      <c r="E51" t="s">
        <v>785</v>
      </c>
      <c r="F51">
        <v>2000</v>
      </c>
      <c r="G51">
        <v>25</v>
      </c>
    </row>
    <row r="52" spans="1:7" x14ac:dyDescent="0.2">
      <c r="A52">
        <v>36</v>
      </c>
      <c r="B52" t="s">
        <v>216</v>
      </c>
      <c r="C52" t="s">
        <v>754</v>
      </c>
      <c r="D52" t="s">
        <v>164</v>
      </c>
      <c r="E52" t="s">
        <v>785</v>
      </c>
      <c r="F52">
        <v>1997</v>
      </c>
      <c r="G52">
        <v>28</v>
      </c>
    </row>
    <row r="53" spans="1:7" x14ac:dyDescent="0.2">
      <c r="A53">
        <v>37</v>
      </c>
      <c r="B53" t="s">
        <v>192</v>
      </c>
      <c r="C53" t="s">
        <v>764</v>
      </c>
      <c r="D53" t="s">
        <v>170</v>
      </c>
      <c r="E53" t="s">
        <v>786</v>
      </c>
      <c r="F53">
        <v>2018</v>
      </c>
      <c r="G53">
        <v>7</v>
      </c>
    </row>
    <row r="54" spans="1:7" x14ac:dyDescent="0.2">
      <c r="A54">
        <v>38</v>
      </c>
      <c r="B54" t="s">
        <v>216</v>
      </c>
      <c r="C54" t="s">
        <v>762</v>
      </c>
      <c r="D54" t="s">
        <v>164</v>
      </c>
      <c r="E54" t="s">
        <v>787</v>
      </c>
      <c r="F54">
        <v>2021</v>
      </c>
      <c r="G54">
        <v>4</v>
      </c>
    </row>
    <row r="55" spans="1:7" x14ac:dyDescent="0.2">
      <c r="A55">
        <v>39</v>
      </c>
      <c r="B55" t="s">
        <v>216</v>
      </c>
      <c r="C55" t="s">
        <v>754</v>
      </c>
      <c r="D55" t="s">
        <v>161</v>
      </c>
      <c r="E55" t="s">
        <v>788</v>
      </c>
      <c r="F55">
        <v>2011</v>
      </c>
      <c r="G55">
        <v>14</v>
      </c>
    </row>
    <row r="56" spans="1:7" x14ac:dyDescent="0.2">
      <c r="A56">
        <v>40</v>
      </c>
      <c r="B56" t="s">
        <v>216</v>
      </c>
      <c r="C56" t="s">
        <v>750</v>
      </c>
      <c r="D56" t="s">
        <v>164</v>
      </c>
      <c r="E56" t="s">
        <v>789</v>
      </c>
      <c r="F56">
        <v>1991</v>
      </c>
      <c r="G56">
        <v>34</v>
      </c>
    </row>
    <row r="57" spans="1:7" x14ac:dyDescent="0.2">
      <c r="A57">
        <v>41</v>
      </c>
      <c r="B57" t="s">
        <v>216</v>
      </c>
      <c r="C57" t="s">
        <v>790</v>
      </c>
      <c r="D57" t="s">
        <v>161</v>
      </c>
      <c r="E57" t="s">
        <v>791</v>
      </c>
      <c r="F57">
        <v>1992</v>
      </c>
      <c r="G57">
        <v>33</v>
      </c>
    </row>
    <row r="58" spans="1:7" x14ac:dyDescent="0.2">
      <c r="A58">
        <v>42</v>
      </c>
      <c r="B58" t="s">
        <v>216</v>
      </c>
      <c r="C58" t="s">
        <v>761</v>
      </c>
      <c r="D58" t="s">
        <v>167</v>
      </c>
      <c r="E58" t="s">
        <v>792</v>
      </c>
      <c r="F58">
        <v>2023</v>
      </c>
      <c r="G58">
        <v>2</v>
      </c>
    </row>
    <row r="59" spans="1:7" x14ac:dyDescent="0.2">
      <c r="A59">
        <v>43</v>
      </c>
      <c r="B59" t="s">
        <v>216</v>
      </c>
      <c r="C59" t="s">
        <v>793</v>
      </c>
      <c r="D59" t="s">
        <v>161</v>
      </c>
      <c r="E59" t="s">
        <v>794</v>
      </c>
      <c r="F59">
        <v>2022</v>
      </c>
      <c r="G59">
        <v>3</v>
      </c>
    </row>
    <row r="62" spans="1:7" ht="16" x14ac:dyDescent="0.2">
      <c r="A62" s="1" t="s">
        <v>1135</v>
      </c>
    </row>
    <row r="64" spans="1:7" ht="16" x14ac:dyDescent="0.2">
      <c r="A64" s="3" t="s">
        <v>70</v>
      </c>
      <c r="B64" s="3" t="s">
        <v>282</v>
      </c>
      <c r="C64" s="3" t="s">
        <v>1136</v>
      </c>
      <c r="D64" s="3" t="s">
        <v>557</v>
      </c>
      <c r="E64" s="3" t="s">
        <v>1137</v>
      </c>
    </row>
    <row r="65" spans="1:6" x14ac:dyDescent="0.2">
      <c r="A65">
        <v>2025</v>
      </c>
      <c r="B65" t="s">
        <v>1138</v>
      </c>
      <c r="C65" t="s">
        <v>1081</v>
      </c>
      <c r="D65" t="s">
        <v>1138</v>
      </c>
      <c r="E65" t="s">
        <v>1139</v>
      </c>
    </row>
    <row r="66" spans="1:6" x14ac:dyDescent="0.2">
      <c r="A66">
        <v>2030</v>
      </c>
      <c r="B66" t="s">
        <v>1140</v>
      </c>
      <c r="C66" t="s">
        <v>1141</v>
      </c>
      <c r="D66" t="s">
        <v>1142</v>
      </c>
      <c r="E66" t="s">
        <v>1143</v>
      </c>
    </row>
    <row r="67" spans="1:6" x14ac:dyDescent="0.2">
      <c r="A67">
        <v>2035</v>
      </c>
      <c r="B67" t="s">
        <v>1144</v>
      </c>
      <c r="C67" t="s">
        <v>1145</v>
      </c>
      <c r="D67" t="s">
        <v>1146</v>
      </c>
      <c r="E67" t="s">
        <v>1147</v>
      </c>
    </row>
    <row r="68" spans="1:6" x14ac:dyDescent="0.2">
      <c r="A68">
        <v>2040</v>
      </c>
      <c r="B68" t="s">
        <v>1148</v>
      </c>
      <c r="C68" t="s">
        <v>1149</v>
      </c>
      <c r="D68" t="s">
        <v>1150</v>
      </c>
      <c r="E68" t="s">
        <v>1151</v>
      </c>
    </row>
    <row r="69" spans="1:6" x14ac:dyDescent="0.2">
      <c r="A69">
        <v>2045</v>
      </c>
      <c r="B69" t="s">
        <v>1152</v>
      </c>
      <c r="C69" t="s">
        <v>1153</v>
      </c>
      <c r="D69" t="s">
        <v>1154</v>
      </c>
      <c r="E69" t="s">
        <v>1155</v>
      </c>
    </row>
    <row r="70" spans="1:6" x14ac:dyDescent="0.2">
      <c r="A70">
        <v>2050</v>
      </c>
      <c r="B70" t="s">
        <v>1156</v>
      </c>
      <c r="C70" t="s">
        <v>1156</v>
      </c>
      <c r="D70" t="s">
        <v>1081</v>
      </c>
      <c r="E70" t="s">
        <v>1157</v>
      </c>
    </row>
    <row r="73" spans="1:6" ht="16" x14ac:dyDescent="0.2">
      <c r="A73" s="1" t="s">
        <v>1158</v>
      </c>
    </row>
    <row r="75" spans="1:6" ht="16" x14ac:dyDescent="0.2">
      <c r="A75" s="3" t="s">
        <v>1134</v>
      </c>
      <c r="B75" s="3" t="s">
        <v>191</v>
      </c>
      <c r="C75" s="3" t="s">
        <v>746</v>
      </c>
      <c r="D75" s="3" t="s">
        <v>158</v>
      </c>
      <c r="E75" s="3" t="s">
        <v>159</v>
      </c>
      <c r="F75" s="3" t="s">
        <v>1159</v>
      </c>
    </row>
    <row r="76" spans="1:6" x14ac:dyDescent="0.2">
      <c r="A76">
        <v>1</v>
      </c>
      <c r="B76" t="s">
        <v>192</v>
      </c>
      <c r="C76" t="s">
        <v>777</v>
      </c>
      <c r="D76" t="s">
        <v>161</v>
      </c>
      <c r="E76" t="s">
        <v>1160</v>
      </c>
      <c r="F76" t="s">
        <v>1161</v>
      </c>
    </row>
    <row r="77" spans="1:6" x14ac:dyDescent="0.2">
      <c r="A77">
        <v>2</v>
      </c>
      <c r="B77" t="s">
        <v>192</v>
      </c>
      <c r="C77" t="s">
        <v>748</v>
      </c>
      <c r="D77" t="s">
        <v>170</v>
      </c>
      <c r="E77" t="s">
        <v>749</v>
      </c>
      <c r="F77" t="s">
        <v>1162</v>
      </c>
    </row>
    <row r="78" spans="1:6" x14ac:dyDescent="0.2">
      <c r="A78">
        <v>3</v>
      </c>
      <c r="B78" t="s">
        <v>192</v>
      </c>
      <c r="C78" t="s">
        <v>750</v>
      </c>
      <c r="D78" t="s">
        <v>164</v>
      </c>
      <c r="E78" t="s">
        <v>751</v>
      </c>
      <c r="F78" t="s">
        <v>1163</v>
      </c>
    </row>
    <row r="79" spans="1:6" x14ac:dyDescent="0.2">
      <c r="A79">
        <v>4</v>
      </c>
      <c r="B79" t="s">
        <v>192</v>
      </c>
      <c r="C79" t="s">
        <v>752</v>
      </c>
      <c r="D79" t="s">
        <v>164</v>
      </c>
      <c r="E79" t="s">
        <v>753</v>
      </c>
      <c r="F79" t="s">
        <v>1164</v>
      </c>
    </row>
    <row r="80" spans="1:6" x14ac:dyDescent="0.2">
      <c r="A80">
        <v>5</v>
      </c>
      <c r="B80" t="s">
        <v>192</v>
      </c>
      <c r="C80" t="s">
        <v>754</v>
      </c>
      <c r="D80" t="s">
        <v>161</v>
      </c>
      <c r="E80" t="s">
        <v>755</v>
      </c>
      <c r="F80" t="s">
        <v>1165</v>
      </c>
    </row>
    <row r="81" spans="1:6" x14ac:dyDescent="0.2">
      <c r="A81">
        <v>6</v>
      </c>
      <c r="B81" t="s">
        <v>196</v>
      </c>
      <c r="C81" t="s">
        <v>752</v>
      </c>
      <c r="D81" t="s">
        <v>161</v>
      </c>
      <c r="E81" t="s">
        <v>753</v>
      </c>
      <c r="F81" t="s">
        <v>1166</v>
      </c>
    </row>
    <row r="82" spans="1:6" x14ac:dyDescent="0.2">
      <c r="A82">
        <v>7</v>
      </c>
      <c r="B82" t="s">
        <v>196</v>
      </c>
      <c r="C82" t="s">
        <v>777</v>
      </c>
      <c r="D82" t="s">
        <v>161</v>
      </c>
      <c r="E82" t="s">
        <v>1167</v>
      </c>
      <c r="F82" t="s">
        <v>1168</v>
      </c>
    </row>
    <row r="83" spans="1:6" x14ac:dyDescent="0.2">
      <c r="A83">
        <v>8</v>
      </c>
      <c r="B83" t="s">
        <v>192</v>
      </c>
      <c r="C83" t="s">
        <v>754</v>
      </c>
      <c r="D83" t="s">
        <v>164</v>
      </c>
      <c r="E83" t="s">
        <v>1169</v>
      </c>
      <c r="F83" t="s">
        <v>1170</v>
      </c>
    </row>
    <row r="84" spans="1:6" x14ac:dyDescent="0.2">
      <c r="A84">
        <v>9</v>
      </c>
      <c r="B84" t="s">
        <v>192</v>
      </c>
      <c r="C84" t="s">
        <v>752</v>
      </c>
      <c r="D84" t="s">
        <v>161</v>
      </c>
      <c r="E84" t="s">
        <v>757</v>
      </c>
      <c r="F84" t="s">
        <v>1171</v>
      </c>
    </row>
    <row r="85" spans="1:6" x14ac:dyDescent="0.2">
      <c r="A85">
        <v>10</v>
      </c>
      <c r="B85" t="s">
        <v>196</v>
      </c>
      <c r="C85" t="s">
        <v>750</v>
      </c>
      <c r="D85" t="s">
        <v>164</v>
      </c>
      <c r="E85" t="s">
        <v>756</v>
      </c>
      <c r="F85" t="s">
        <v>1172</v>
      </c>
    </row>
    <row r="86" spans="1:6" x14ac:dyDescent="0.2">
      <c r="A86">
        <v>11</v>
      </c>
      <c r="B86" t="s">
        <v>192</v>
      </c>
      <c r="C86" t="s">
        <v>758</v>
      </c>
      <c r="D86" t="s">
        <v>161</v>
      </c>
      <c r="E86" t="s">
        <v>760</v>
      </c>
      <c r="F86" t="s">
        <v>1173</v>
      </c>
    </row>
    <row r="87" spans="1:6" x14ac:dyDescent="0.2">
      <c r="A87">
        <v>12</v>
      </c>
      <c r="B87" t="s">
        <v>192</v>
      </c>
      <c r="C87" t="s">
        <v>761</v>
      </c>
      <c r="D87" t="s">
        <v>170</v>
      </c>
      <c r="E87" t="s">
        <v>760</v>
      </c>
      <c r="F87" t="s">
        <v>1173</v>
      </c>
    </row>
    <row r="88" spans="1:6" x14ac:dyDescent="0.2">
      <c r="A88">
        <v>13</v>
      </c>
      <c r="B88" t="s">
        <v>196</v>
      </c>
      <c r="C88" t="s">
        <v>758</v>
      </c>
      <c r="D88" t="s">
        <v>161</v>
      </c>
      <c r="E88" t="s">
        <v>759</v>
      </c>
      <c r="F88" t="s">
        <v>1174</v>
      </c>
    </row>
    <row r="89" spans="1:6" x14ac:dyDescent="0.2">
      <c r="A89">
        <v>14</v>
      </c>
      <c r="B89" t="s">
        <v>192</v>
      </c>
      <c r="C89" t="s">
        <v>762</v>
      </c>
      <c r="D89" t="s">
        <v>164</v>
      </c>
      <c r="E89" t="s">
        <v>763</v>
      </c>
      <c r="F89" t="s">
        <v>1175</v>
      </c>
    </row>
    <row r="90" spans="1:6" x14ac:dyDescent="0.2">
      <c r="A90">
        <v>15</v>
      </c>
      <c r="B90" t="s">
        <v>196</v>
      </c>
      <c r="C90" t="s">
        <v>764</v>
      </c>
      <c r="D90" t="s">
        <v>170</v>
      </c>
      <c r="E90" t="s">
        <v>765</v>
      </c>
      <c r="F90" t="s">
        <v>1176</v>
      </c>
    </row>
    <row r="91" spans="1:6" x14ac:dyDescent="0.2">
      <c r="A91">
        <v>16</v>
      </c>
      <c r="B91" t="s">
        <v>196</v>
      </c>
      <c r="C91" t="s">
        <v>748</v>
      </c>
      <c r="D91" t="s">
        <v>170</v>
      </c>
      <c r="E91" t="s">
        <v>766</v>
      </c>
      <c r="F91" t="s">
        <v>1177</v>
      </c>
    </row>
    <row r="92" spans="1:6" x14ac:dyDescent="0.2">
      <c r="A92">
        <v>17</v>
      </c>
      <c r="B92" t="s">
        <v>192</v>
      </c>
      <c r="C92" t="s">
        <v>815</v>
      </c>
      <c r="D92" t="s">
        <v>167</v>
      </c>
      <c r="E92" t="s">
        <v>1178</v>
      </c>
      <c r="F92" t="s">
        <v>1179</v>
      </c>
    </row>
    <row r="93" spans="1:6" x14ac:dyDescent="0.2">
      <c r="A93">
        <v>18</v>
      </c>
      <c r="B93" t="s">
        <v>196</v>
      </c>
      <c r="C93" t="s">
        <v>752</v>
      </c>
      <c r="D93" t="s">
        <v>164</v>
      </c>
      <c r="E93" t="s">
        <v>767</v>
      </c>
      <c r="F93" t="s">
        <v>1180</v>
      </c>
    </row>
    <row r="94" spans="1:6" x14ac:dyDescent="0.2">
      <c r="A94">
        <v>19</v>
      </c>
      <c r="B94" t="s">
        <v>196</v>
      </c>
      <c r="C94" t="s">
        <v>754</v>
      </c>
      <c r="D94" t="s">
        <v>161</v>
      </c>
      <c r="E94" t="s">
        <v>768</v>
      </c>
      <c r="F94" t="s">
        <v>1181</v>
      </c>
    </row>
    <row r="95" spans="1:6" x14ac:dyDescent="0.2">
      <c r="A95">
        <v>20</v>
      </c>
      <c r="B95" t="s">
        <v>196</v>
      </c>
      <c r="C95" t="s">
        <v>769</v>
      </c>
      <c r="D95" t="s">
        <v>167</v>
      </c>
      <c r="E95" t="s">
        <v>770</v>
      </c>
      <c r="F95" t="s">
        <v>1182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G95"/>
  <sheetViews>
    <sheetView workbookViewId="0"/>
  </sheetViews>
  <sheetFormatPr baseColWidth="10" defaultColWidth="8.83203125" defaultRowHeight="15" x14ac:dyDescent="0.2"/>
  <cols>
    <col min="1" max="1" width="12" customWidth="1"/>
    <col min="2" max="2" width="15" customWidth="1"/>
    <col min="3" max="3" width="25" customWidth="1"/>
    <col min="4" max="4" width="12" customWidth="1"/>
    <col min="5" max="5" width="14" customWidth="1"/>
    <col min="6" max="7" width="12" customWidth="1"/>
  </cols>
  <sheetData>
    <row r="1" spans="1:7" ht="19" x14ac:dyDescent="0.25">
      <c r="A1" s="4" t="s">
        <v>1183</v>
      </c>
    </row>
    <row r="3" spans="1:7" ht="16" x14ac:dyDescent="0.2">
      <c r="A3" s="1" t="s">
        <v>1125</v>
      </c>
    </row>
    <row r="5" spans="1:7" x14ac:dyDescent="0.2">
      <c r="A5" s="2" t="s">
        <v>150</v>
      </c>
      <c r="B5">
        <v>262</v>
      </c>
    </row>
    <row r="6" spans="1:7" x14ac:dyDescent="0.2">
      <c r="A6" s="2" t="s">
        <v>1126</v>
      </c>
      <c r="B6">
        <v>43</v>
      </c>
    </row>
    <row r="7" spans="1:7" x14ac:dyDescent="0.2">
      <c r="A7" s="2" t="s">
        <v>250</v>
      </c>
      <c r="B7" t="s">
        <v>1127</v>
      </c>
    </row>
    <row r="8" spans="1:7" x14ac:dyDescent="0.2">
      <c r="A8" s="2" t="s">
        <v>471</v>
      </c>
      <c r="B8" t="s">
        <v>1128</v>
      </c>
    </row>
    <row r="9" spans="1:7" x14ac:dyDescent="0.2">
      <c r="A9" s="2" t="s">
        <v>1129</v>
      </c>
      <c r="B9" t="s">
        <v>1130</v>
      </c>
    </row>
    <row r="10" spans="1:7" x14ac:dyDescent="0.2">
      <c r="A10" s="2" t="s">
        <v>1131</v>
      </c>
      <c r="B10" t="s">
        <v>1081</v>
      </c>
    </row>
    <row r="11" spans="1:7" x14ac:dyDescent="0.2">
      <c r="A11" s="2" t="s">
        <v>1132</v>
      </c>
      <c r="B11" t="s">
        <v>564</v>
      </c>
    </row>
    <row r="14" spans="1:7" ht="16" x14ac:dyDescent="0.2">
      <c r="A14" s="1" t="s">
        <v>1133</v>
      </c>
    </row>
    <row r="16" spans="1:7" ht="16" x14ac:dyDescent="0.2">
      <c r="A16" s="3" t="s">
        <v>1134</v>
      </c>
      <c r="B16" s="3" t="s">
        <v>191</v>
      </c>
      <c r="C16" s="3" t="s">
        <v>746</v>
      </c>
      <c r="D16" s="3" t="s">
        <v>158</v>
      </c>
      <c r="E16" s="3" t="s">
        <v>159</v>
      </c>
      <c r="F16" s="3" t="s">
        <v>809</v>
      </c>
      <c r="G16" s="3" t="s">
        <v>810</v>
      </c>
    </row>
    <row r="17" spans="1:7" x14ac:dyDescent="0.2">
      <c r="A17">
        <v>1</v>
      </c>
      <c r="B17" t="s">
        <v>192</v>
      </c>
      <c r="C17" t="s">
        <v>748</v>
      </c>
      <c r="D17" t="s">
        <v>170</v>
      </c>
      <c r="E17" t="s">
        <v>749</v>
      </c>
      <c r="F17">
        <v>2026</v>
      </c>
      <c r="G17">
        <v>-1</v>
      </c>
    </row>
    <row r="18" spans="1:7" x14ac:dyDescent="0.2">
      <c r="A18">
        <v>2</v>
      </c>
      <c r="B18" t="s">
        <v>192</v>
      </c>
      <c r="C18" t="s">
        <v>748</v>
      </c>
      <c r="D18" t="s">
        <v>170</v>
      </c>
      <c r="E18" t="s">
        <v>749</v>
      </c>
      <c r="F18">
        <v>2026</v>
      </c>
      <c r="G18">
        <v>-1</v>
      </c>
    </row>
    <row r="19" spans="1:7" x14ac:dyDescent="0.2">
      <c r="A19">
        <v>3</v>
      </c>
      <c r="B19" t="s">
        <v>192</v>
      </c>
      <c r="C19" t="s">
        <v>748</v>
      </c>
      <c r="D19" t="s">
        <v>170</v>
      </c>
      <c r="E19" t="s">
        <v>749</v>
      </c>
      <c r="F19">
        <v>2026</v>
      </c>
      <c r="G19">
        <v>-1</v>
      </c>
    </row>
    <row r="20" spans="1:7" x14ac:dyDescent="0.2">
      <c r="A20">
        <v>4</v>
      </c>
      <c r="B20" t="s">
        <v>192</v>
      </c>
      <c r="C20" t="s">
        <v>748</v>
      </c>
      <c r="D20" t="s">
        <v>170</v>
      </c>
      <c r="E20" t="s">
        <v>749</v>
      </c>
      <c r="F20">
        <v>2026</v>
      </c>
      <c r="G20">
        <v>-1</v>
      </c>
    </row>
    <row r="21" spans="1:7" x14ac:dyDescent="0.2">
      <c r="A21">
        <v>5</v>
      </c>
      <c r="B21" t="s">
        <v>192</v>
      </c>
      <c r="C21" t="s">
        <v>750</v>
      </c>
      <c r="D21" t="s">
        <v>164</v>
      </c>
      <c r="E21" t="s">
        <v>751</v>
      </c>
      <c r="F21">
        <v>1991</v>
      </c>
      <c r="G21">
        <v>34</v>
      </c>
    </row>
    <row r="22" spans="1:7" x14ac:dyDescent="0.2">
      <c r="A22">
        <v>6</v>
      </c>
      <c r="B22" t="s">
        <v>196</v>
      </c>
      <c r="C22" t="s">
        <v>752</v>
      </c>
      <c r="D22" t="s">
        <v>161</v>
      </c>
      <c r="E22" t="s">
        <v>753</v>
      </c>
      <c r="F22">
        <v>2021</v>
      </c>
      <c r="G22">
        <v>4</v>
      </c>
    </row>
    <row r="23" spans="1:7" x14ac:dyDescent="0.2">
      <c r="A23">
        <v>7</v>
      </c>
      <c r="B23" t="s">
        <v>192</v>
      </c>
      <c r="C23" t="s">
        <v>752</v>
      </c>
      <c r="D23" t="s">
        <v>164</v>
      </c>
      <c r="E23" t="s">
        <v>753</v>
      </c>
      <c r="F23">
        <v>1991</v>
      </c>
      <c r="G23">
        <v>34</v>
      </c>
    </row>
    <row r="24" spans="1:7" x14ac:dyDescent="0.2">
      <c r="A24">
        <v>8</v>
      </c>
      <c r="B24" t="s">
        <v>192</v>
      </c>
      <c r="C24" t="s">
        <v>754</v>
      </c>
      <c r="D24" t="s">
        <v>161</v>
      </c>
      <c r="E24" t="s">
        <v>755</v>
      </c>
      <c r="F24">
        <v>1992</v>
      </c>
      <c r="G24">
        <v>33</v>
      </c>
    </row>
    <row r="25" spans="1:7" x14ac:dyDescent="0.2">
      <c r="A25">
        <v>9</v>
      </c>
      <c r="B25" t="s">
        <v>196</v>
      </c>
      <c r="C25" t="s">
        <v>750</v>
      </c>
      <c r="D25" t="s">
        <v>164</v>
      </c>
      <c r="E25" t="s">
        <v>756</v>
      </c>
      <c r="F25">
        <v>1991</v>
      </c>
      <c r="G25">
        <v>34</v>
      </c>
    </row>
    <row r="26" spans="1:7" x14ac:dyDescent="0.2">
      <c r="A26">
        <v>10</v>
      </c>
      <c r="B26" t="s">
        <v>192</v>
      </c>
      <c r="C26" t="s">
        <v>752</v>
      </c>
      <c r="D26" t="s">
        <v>161</v>
      </c>
      <c r="E26" t="s">
        <v>757</v>
      </c>
      <c r="F26">
        <v>2021</v>
      </c>
      <c r="G26">
        <v>4</v>
      </c>
    </row>
    <row r="27" spans="1:7" x14ac:dyDescent="0.2">
      <c r="A27">
        <v>11</v>
      </c>
      <c r="B27" t="s">
        <v>196</v>
      </c>
      <c r="C27" t="s">
        <v>758</v>
      </c>
      <c r="D27" t="s">
        <v>161</v>
      </c>
      <c r="E27" t="s">
        <v>759</v>
      </c>
      <c r="F27">
        <v>2021</v>
      </c>
      <c r="G27">
        <v>4</v>
      </c>
    </row>
    <row r="28" spans="1:7" x14ac:dyDescent="0.2">
      <c r="A28">
        <v>12</v>
      </c>
      <c r="B28" t="s">
        <v>192</v>
      </c>
      <c r="C28" t="s">
        <v>758</v>
      </c>
      <c r="D28" t="s">
        <v>161</v>
      </c>
      <c r="E28" t="s">
        <v>760</v>
      </c>
      <c r="F28">
        <v>2021</v>
      </c>
      <c r="G28">
        <v>4</v>
      </c>
    </row>
    <row r="29" spans="1:7" x14ac:dyDescent="0.2">
      <c r="A29">
        <v>13</v>
      </c>
      <c r="B29" t="s">
        <v>192</v>
      </c>
      <c r="C29" t="s">
        <v>761</v>
      </c>
      <c r="D29" t="s">
        <v>170</v>
      </c>
      <c r="E29" t="s">
        <v>760</v>
      </c>
      <c r="F29">
        <v>1991</v>
      </c>
      <c r="G29">
        <v>34</v>
      </c>
    </row>
    <row r="30" spans="1:7" x14ac:dyDescent="0.2">
      <c r="A30">
        <v>14</v>
      </c>
      <c r="B30" t="s">
        <v>192</v>
      </c>
      <c r="C30" t="s">
        <v>762</v>
      </c>
      <c r="D30" t="s">
        <v>164</v>
      </c>
      <c r="E30" t="s">
        <v>763</v>
      </c>
      <c r="F30">
        <v>2021</v>
      </c>
      <c r="G30">
        <v>4</v>
      </c>
    </row>
    <row r="31" spans="1:7" x14ac:dyDescent="0.2">
      <c r="A31">
        <v>15</v>
      </c>
      <c r="B31" t="s">
        <v>196</v>
      </c>
      <c r="C31" t="s">
        <v>764</v>
      </c>
      <c r="D31" t="s">
        <v>170</v>
      </c>
      <c r="E31" t="s">
        <v>765</v>
      </c>
      <c r="F31">
        <v>2018</v>
      </c>
      <c r="G31">
        <v>7</v>
      </c>
    </row>
    <row r="32" spans="1:7" x14ac:dyDescent="0.2">
      <c r="A32">
        <v>16</v>
      </c>
      <c r="B32" t="s">
        <v>196</v>
      </c>
      <c r="C32" t="s">
        <v>748</v>
      </c>
      <c r="D32" t="s">
        <v>170</v>
      </c>
      <c r="E32" t="s">
        <v>766</v>
      </c>
      <c r="F32">
        <v>2026</v>
      </c>
      <c r="G32">
        <v>-1</v>
      </c>
    </row>
    <row r="33" spans="1:7" x14ac:dyDescent="0.2">
      <c r="A33">
        <v>17</v>
      </c>
      <c r="B33" t="s">
        <v>196</v>
      </c>
      <c r="C33" t="s">
        <v>748</v>
      </c>
      <c r="D33" t="s">
        <v>170</v>
      </c>
      <c r="E33" t="s">
        <v>766</v>
      </c>
      <c r="F33">
        <v>2026</v>
      </c>
      <c r="G33">
        <v>-1</v>
      </c>
    </row>
    <row r="34" spans="1:7" x14ac:dyDescent="0.2">
      <c r="A34">
        <v>18</v>
      </c>
      <c r="B34" t="s">
        <v>196</v>
      </c>
      <c r="C34" t="s">
        <v>748</v>
      </c>
      <c r="D34" t="s">
        <v>170</v>
      </c>
      <c r="E34" t="s">
        <v>766</v>
      </c>
      <c r="F34">
        <v>2026</v>
      </c>
      <c r="G34">
        <v>-1</v>
      </c>
    </row>
    <row r="35" spans="1:7" x14ac:dyDescent="0.2">
      <c r="A35">
        <v>19</v>
      </c>
      <c r="B35" t="s">
        <v>196</v>
      </c>
      <c r="C35" t="s">
        <v>748</v>
      </c>
      <c r="D35" t="s">
        <v>170</v>
      </c>
      <c r="E35" t="s">
        <v>766</v>
      </c>
      <c r="F35">
        <v>2026</v>
      </c>
      <c r="G35">
        <v>-1</v>
      </c>
    </row>
    <row r="36" spans="1:7" x14ac:dyDescent="0.2">
      <c r="A36">
        <v>20</v>
      </c>
      <c r="B36" t="s">
        <v>196</v>
      </c>
      <c r="C36" t="s">
        <v>752</v>
      </c>
      <c r="D36" t="s">
        <v>164</v>
      </c>
      <c r="E36" t="s">
        <v>767</v>
      </c>
      <c r="F36">
        <v>1991</v>
      </c>
      <c r="G36">
        <v>34</v>
      </c>
    </row>
    <row r="37" spans="1:7" x14ac:dyDescent="0.2">
      <c r="A37">
        <v>21</v>
      </c>
      <c r="B37" t="s">
        <v>196</v>
      </c>
      <c r="C37" t="s">
        <v>754</v>
      </c>
      <c r="D37" t="s">
        <v>161</v>
      </c>
      <c r="E37" t="s">
        <v>768</v>
      </c>
      <c r="F37">
        <v>1992</v>
      </c>
      <c r="G37">
        <v>33</v>
      </c>
    </row>
    <row r="38" spans="1:7" x14ac:dyDescent="0.2">
      <c r="A38">
        <v>22</v>
      </c>
      <c r="B38" t="s">
        <v>196</v>
      </c>
      <c r="C38" t="s">
        <v>769</v>
      </c>
      <c r="D38" t="s">
        <v>167</v>
      </c>
      <c r="E38" t="s">
        <v>770</v>
      </c>
      <c r="F38">
        <v>1996</v>
      </c>
      <c r="G38">
        <v>29</v>
      </c>
    </row>
    <row r="39" spans="1:7" x14ac:dyDescent="0.2">
      <c r="A39">
        <v>23</v>
      </c>
      <c r="B39" t="s">
        <v>196</v>
      </c>
      <c r="C39" t="s">
        <v>771</v>
      </c>
      <c r="D39" t="s">
        <v>167</v>
      </c>
      <c r="E39" t="s">
        <v>772</v>
      </c>
      <c r="F39">
        <v>2016</v>
      </c>
      <c r="G39">
        <v>9</v>
      </c>
    </row>
    <row r="40" spans="1:7" x14ac:dyDescent="0.2">
      <c r="A40">
        <v>24</v>
      </c>
      <c r="B40" t="s">
        <v>196</v>
      </c>
      <c r="C40" t="s">
        <v>754</v>
      </c>
      <c r="D40" t="s">
        <v>164</v>
      </c>
      <c r="E40" t="s">
        <v>773</v>
      </c>
      <c r="F40">
        <v>1997</v>
      </c>
      <c r="G40">
        <v>28</v>
      </c>
    </row>
    <row r="41" spans="1:7" x14ac:dyDescent="0.2">
      <c r="A41">
        <v>25</v>
      </c>
      <c r="B41" t="s">
        <v>196</v>
      </c>
      <c r="C41" t="s">
        <v>762</v>
      </c>
      <c r="D41" t="s">
        <v>164</v>
      </c>
      <c r="E41" t="s">
        <v>774</v>
      </c>
      <c r="F41">
        <v>2021</v>
      </c>
      <c r="G41">
        <v>4</v>
      </c>
    </row>
    <row r="42" spans="1:7" x14ac:dyDescent="0.2">
      <c r="A42">
        <v>26</v>
      </c>
      <c r="B42" t="s">
        <v>196</v>
      </c>
      <c r="C42" t="s">
        <v>775</v>
      </c>
      <c r="D42" t="s">
        <v>164</v>
      </c>
      <c r="E42" t="s">
        <v>776</v>
      </c>
      <c r="F42">
        <v>2011</v>
      </c>
      <c r="G42">
        <v>14</v>
      </c>
    </row>
    <row r="43" spans="1:7" x14ac:dyDescent="0.2">
      <c r="A43">
        <v>27</v>
      </c>
      <c r="B43" t="s">
        <v>216</v>
      </c>
      <c r="C43" t="s">
        <v>777</v>
      </c>
      <c r="D43" t="s">
        <v>161</v>
      </c>
      <c r="E43" t="s">
        <v>778</v>
      </c>
      <c r="F43">
        <v>1992</v>
      </c>
      <c r="G43">
        <v>33</v>
      </c>
    </row>
    <row r="44" spans="1:7" x14ac:dyDescent="0.2">
      <c r="A44">
        <v>28</v>
      </c>
      <c r="B44" t="s">
        <v>216</v>
      </c>
      <c r="C44" t="s">
        <v>752</v>
      </c>
      <c r="D44" t="s">
        <v>161</v>
      </c>
      <c r="E44" t="s">
        <v>779</v>
      </c>
      <c r="F44">
        <v>1991</v>
      </c>
      <c r="G44">
        <v>34</v>
      </c>
    </row>
    <row r="45" spans="1:7" x14ac:dyDescent="0.2">
      <c r="A45">
        <v>29</v>
      </c>
      <c r="B45" t="s">
        <v>196</v>
      </c>
      <c r="C45" t="s">
        <v>780</v>
      </c>
      <c r="D45" t="s">
        <v>167</v>
      </c>
      <c r="E45" t="s">
        <v>781</v>
      </c>
      <c r="F45">
        <v>1997</v>
      </c>
      <c r="G45">
        <v>28</v>
      </c>
    </row>
    <row r="46" spans="1:7" x14ac:dyDescent="0.2">
      <c r="A46">
        <v>30</v>
      </c>
      <c r="B46" t="s">
        <v>216</v>
      </c>
      <c r="C46" t="s">
        <v>748</v>
      </c>
      <c r="D46" t="s">
        <v>170</v>
      </c>
      <c r="E46" t="s">
        <v>782</v>
      </c>
      <c r="F46">
        <v>2026</v>
      </c>
      <c r="G46">
        <v>-1</v>
      </c>
    </row>
    <row r="47" spans="1:7" x14ac:dyDescent="0.2">
      <c r="A47">
        <v>31</v>
      </c>
      <c r="B47" t="s">
        <v>216</v>
      </c>
      <c r="C47" t="s">
        <v>748</v>
      </c>
      <c r="D47" t="s">
        <v>170</v>
      </c>
      <c r="E47" t="s">
        <v>782</v>
      </c>
      <c r="F47">
        <v>2026</v>
      </c>
      <c r="G47">
        <v>-1</v>
      </c>
    </row>
    <row r="48" spans="1:7" x14ac:dyDescent="0.2">
      <c r="A48">
        <v>32</v>
      </c>
      <c r="B48" t="s">
        <v>216</v>
      </c>
      <c r="C48" t="s">
        <v>748</v>
      </c>
      <c r="D48" t="s">
        <v>170</v>
      </c>
      <c r="E48" t="s">
        <v>782</v>
      </c>
      <c r="F48">
        <v>2026</v>
      </c>
      <c r="G48">
        <v>-1</v>
      </c>
    </row>
    <row r="49" spans="1:7" x14ac:dyDescent="0.2">
      <c r="A49">
        <v>33</v>
      </c>
      <c r="B49" t="s">
        <v>216</v>
      </c>
      <c r="C49" t="s">
        <v>748</v>
      </c>
      <c r="D49" t="s">
        <v>170</v>
      </c>
      <c r="E49" t="s">
        <v>782</v>
      </c>
      <c r="F49">
        <v>2026</v>
      </c>
      <c r="G49">
        <v>-1</v>
      </c>
    </row>
    <row r="50" spans="1:7" x14ac:dyDescent="0.2">
      <c r="A50">
        <v>34</v>
      </c>
      <c r="B50" t="s">
        <v>216</v>
      </c>
      <c r="C50" t="s">
        <v>752</v>
      </c>
      <c r="D50" t="s">
        <v>164</v>
      </c>
      <c r="E50" t="s">
        <v>782</v>
      </c>
      <c r="F50">
        <v>1991</v>
      </c>
      <c r="G50">
        <v>34</v>
      </c>
    </row>
    <row r="51" spans="1:7" x14ac:dyDescent="0.2">
      <c r="A51">
        <v>35</v>
      </c>
      <c r="B51" t="s">
        <v>784</v>
      </c>
      <c r="C51" t="s">
        <v>783</v>
      </c>
      <c r="D51" t="s">
        <v>167</v>
      </c>
      <c r="E51" t="s">
        <v>785</v>
      </c>
      <c r="F51">
        <v>2000</v>
      </c>
      <c r="G51">
        <v>25</v>
      </c>
    </row>
    <row r="52" spans="1:7" x14ac:dyDescent="0.2">
      <c r="A52">
        <v>36</v>
      </c>
      <c r="B52" t="s">
        <v>216</v>
      </c>
      <c r="C52" t="s">
        <v>754</v>
      </c>
      <c r="D52" t="s">
        <v>164</v>
      </c>
      <c r="E52" t="s">
        <v>785</v>
      </c>
      <c r="F52">
        <v>1997</v>
      </c>
      <c r="G52">
        <v>28</v>
      </c>
    </row>
    <row r="53" spans="1:7" x14ac:dyDescent="0.2">
      <c r="A53">
        <v>37</v>
      </c>
      <c r="B53" t="s">
        <v>192</v>
      </c>
      <c r="C53" t="s">
        <v>764</v>
      </c>
      <c r="D53" t="s">
        <v>170</v>
      </c>
      <c r="E53" t="s">
        <v>786</v>
      </c>
      <c r="F53">
        <v>2018</v>
      </c>
      <c r="G53">
        <v>7</v>
      </c>
    </row>
    <row r="54" spans="1:7" x14ac:dyDescent="0.2">
      <c r="A54">
        <v>38</v>
      </c>
      <c r="B54" t="s">
        <v>216</v>
      </c>
      <c r="C54" t="s">
        <v>762</v>
      </c>
      <c r="D54" t="s">
        <v>164</v>
      </c>
      <c r="E54" t="s">
        <v>787</v>
      </c>
      <c r="F54">
        <v>2021</v>
      </c>
      <c r="G54">
        <v>4</v>
      </c>
    </row>
    <row r="55" spans="1:7" x14ac:dyDescent="0.2">
      <c r="A55">
        <v>39</v>
      </c>
      <c r="B55" t="s">
        <v>216</v>
      </c>
      <c r="C55" t="s">
        <v>754</v>
      </c>
      <c r="D55" t="s">
        <v>161</v>
      </c>
      <c r="E55" t="s">
        <v>788</v>
      </c>
      <c r="F55">
        <v>2011</v>
      </c>
      <c r="G55">
        <v>14</v>
      </c>
    </row>
    <row r="56" spans="1:7" x14ac:dyDescent="0.2">
      <c r="A56">
        <v>40</v>
      </c>
      <c r="B56" t="s">
        <v>216</v>
      </c>
      <c r="C56" t="s">
        <v>750</v>
      </c>
      <c r="D56" t="s">
        <v>164</v>
      </c>
      <c r="E56" t="s">
        <v>789</v>
      </c>
      <c r="F56">
        <v>1991</v>
      </c>
      <c r="G56">
        <v>34</v>
      </c>
    </row>
    <row r="57" spans="1:7" x14ac:dyDescent="0.2">
      <c r="A57">
        <v>41</v>
      </c>
      <c r="B57" t="s">
        <v>216</v>
      </c>
      <c r="C57" t="s">
        <v>790</v>
      </c>
      <c r="D57" t="s">
        <v>161</v>
      </c>
      <c r="E57" t="s">
        <v>791</v>
      </c>
      <c r="F57">
        <v>1992</v>
      </c>
      <c r="G57">
        <v>33</v>
      </c>
    </row>
    <row r="58" spans="1:7" x14ac:dyDescent="0.2">
      <c r="A58">
        <v>42</v>
      </c>
      <c r="B58" t="s">
        <v>216</v>
      </c>
      <c r="C58" t="s">
        <v>761</v>
      </c>
      <c r="D58" t="s">
        <v>167</v>
      </c>
      <c r="E58" t="s">
        <v>792</v>
      </c>
      <c r="F58">
        <v>2023</v>
      </c>
      <c r="G58">
        <v>2</v>
      </c>
    </row>
    <row r="59" spans="1:7" x14ac:dyDescent="0.2">
      <c r="A59">
        <v>43</v>
      </c>
      <c r="B59" t="s">
        <v>216</v>
      </c>
      <c r="C59" t="s">
        <v>793</v>
      </c>
      <c r="D59" t="s">
        <v>161</v>
      </c>
      <c r="E59" t="s">
        <v>794</v>
      </c>
      <c r="F59">
        <v>2022</v>
      </c>
      <c r="G59">
        <v>3</v>
      </c>
    </row>
    <row r="62" spans="1:7" ht="16" x14ac:dyDescent="0.2">
      <c r="A62" s="1" t="s">
        <v>1135</v>
      </c>
    </row>
    <row r="64" spans="1:7" ht="16" x14ac:dyDescent="0.2">
      <c r="A64" s="3" t="s">
        <v>70</v>
      </c>
      <c r="B64" s="3" t="s">
        <v>282</v>
      </c>
      <c r="C64" s="3" t="s">
        <v>1136</v>
      </c>
      <c r="D64" s="3" t="s">
        <v>557</v>
      </c>
      <c r="E64" s="3" t="s">
        <v>1137</v>
      </c>
    </row>
    <row r="65" spans="1:6" x14ac:dyDescent="0.2">
      <c r="A65">
        <v>2025</v>
      </c>
      <c r="B65" t="s">
        <v>1138</v>
      </c>
      <c r="C65" t="s">
        <v>1081</v>
      </c>
      <c r="D65" t="s">
        <v>1138</v>
      </c>
      <c r="E65" t="s">
        <v>1139</v>
      </c>
    </row>
    <row r="66" spans="1:6" x14ac:dyDescent="0.2">
      <c r="A66">
        <v>2030</v>
      </c>
      <c r="B66" t="s">
        <v>1140</v>
      </c>
      <c r="C66" t="s">
        <v>1141</v>
      </c>
      <c r="D66" t="s">
        <v>1142</v>
      </c>
      <c r="E66" t="s">
        <v>1143</v>
      </c>
    </row>
    <row r="67" spans="1:6" x14ac:dyDescent="0.2">
      <c r="A67">
        <v>2035</v>
      </c>
      <c r="B67" t="s">
        <v>1144</v>
      </c>
      <c r="C67" t="s">
        <v>1145</v>
      </c>
      <c r="D67" t="s">
        <v>1146</v>
      </c>
      <c r="E67" t="s">
        <v>1147</v>
      </c>
    </row>
    <row r="68" spans="1:6" x14ac:dyDescent="0.2">
      <c r="A68">
        <v>2040</v>
      </c>
      <c r="B68" t="s">
        <v>1148</v>
      </c>
      <c r="C68" t="s">
        <v>1149</v>
      </c>
      <c r="D68" t="s">
        <v>1150</v>
      </c>
      <c r="E68" t="s">
        <v>1151</v>
      </c>
    </row>
    <row r="69" spans="1:6" x14ac:dyDescent="0.2">
      <c r="A69">
        <v>2045</v>
      </c>
      <c r="B69" t="s">
        <v>1152</v>
      </c>
      <c r="C69" t="s">
        <v>1153</v>
      </c>
      <c r="D69" t="s">
        <v>1154</v>
      </c>
      <c r="E69" t="s">
        <v>1155</v>
      </c>
    </row>
    <row r="70" spans="1:6" x14ac:dyDescent="0.2">
      <c r="A70">
        <v>2050</v>
      </c>
      <c r="B70" t="s">
        <v>1156</v>
      </c>
      <c r="C70" t="s">
        <v>1156</v>
      </c>
      <c r="D70" t="s">
        <v>1081</v>
      </c>
      <c r="E70" t="s">
        <v>1157</v>
      </c>
    </row>
    <row r="73" spans="1:6" ht="16" x14ac:dyDescent="0.2">
      <c r="A73" s="1" t="s">
        <v>1158</v>
      </c>
    </row>
    <row r="75" spans="1:6" ht="16" x14ac:dyDescent="0.2">
      <c r="A75" s="3" t="s">
        <v>1134</v>
      </c>
      <c r="B75" s="3" t="s">
        <v>191</v>
      </c>
      <c r="C75" s="3" t="s">
        <v>746</v>
      </c>
      <c r="D75" s="3" t="s">
        <v>158</v>
      </c>
      <c r="E75" s="3" t="s">
        <v>159</v>
      </c>
      <c r="F75" s="3" t="s">
        <v>1159</v>
      </c>
    </row>
    <row r="76" spans="1:6" x14ac:dyDescent="0.2">
      <c r="A76">
        <v>1</v>
      </c>
      <c r="B76" t="s">
        <v>192</v>
      </c>
      <c r="C76" t="s">
        <v>777</v>
      </c>
      <c r="D76" t="s">
        <v>161</v>
      </c>
      <c r="E76" t="s">
        <v>1160</v>
      </c>
      <c r="F76" t="s">
        <v>1161</v>
      </c>
    </row>
    <row r="77" spans="1:6" x14ac:dyDescent="0.2">
      <c r="A77">
        <v>2</v>
      </c>
      <c r="B77" t="s">
        <v>192</v>
      </c>
      <c r="C77" t="s">
        <v>748</v>
      </c>
      <c r="D77" t="s">
        <v>170</v>
      </c>
      <c r="E77" t="s">
        <v>749</v>
      </c>
      <c r="F77" t="s">
        <v>1162</v>
      </c>
    </row>
    <row r="78" spans="1:6" x14ac:dyDescent="0.2">
      <c r="A78">
        <v>3</v>
      </c>
      <c r="B78" t="s">
        <v>192</v>
      </c>
      <c r="C78" t="s">
        <v>750</v>
      </c>
      <c r="D78" t="s">
        <v>164</v>
      </c>
      <c r="E78" t="s">
        <v>751</v>
      </c>
      <c r="F78" t="s">
        <v>1163</v>
      </c>
    </row>
    <row r="79" spans="1:6" x14ac:dyDescent="0.2">
      <c r="A79">
        <v>4</v>
      </c>
      <c r="B79" t="s">
        <v>192</v>
      </c>
      <c r="C79" t="s">
        <v>752</v>
      </c>
      <c r="D79" t="s">
        <v>164</v>
      </c>
      <c r="E79" t="s">
        <v>753</v>
      </c>
      <c r="F79" t="s">
        <v>1164</v>
      </c>
    </row>
    <row r="80" spans="1:6" x14ac:dyDescent="0.2">
      <c r="A80">
        <v>5</v>
      </c>
      <c r="B80" t="s">
        <v>192</v>
      </c>
      <c r="C80" t="s">
        <v>754</v>
      </c>
      <c r="D80" t="s">
        <v>161</v>
      </c>
      <c r="E80" t="s">
        <v>755</v>
      </c>
      <c r="F80" t="s">
        <v>1165</v>
      </c>
    </row>
    <row r="81" spans="1:6" x14ac:dyDescent="0.2">
      <c r="A81">
        <v>6</v>
      </c>
      <c r="B81" t="s">
        <v>196</v>
      </c>
      <c r="C81" t="s">
        <v>752</v>
      </c>
      <c r="D81" t="s">
        <v>161</v>
      </c>
      <c r="E81" t="s">
        <v>753</v>
      </c>
      <c r="F81" t="s">
        <v>1166</v>
      </c>
    </row>
    <row r="82" spans="1:6" x14ac:dyDescent="0.2">
      <c r="A82">
        <v>7</v>
      </c>
      <c r="B82" t="s">
        <v>196</v>
      </c>
      <c r="C82" t="s">
        <v>777</v>
      </c>
      <c r="D82" t="s">
        <v>161</v>
      </c>
      <c r="E82" t="s">
        <v>1167</v>
      </c>
      <c r="F82" t="s">
        <v>1168</v>
      </c>
    </row>
    <row r="83" spans="1:6" x14ac:dyDescent="0.2">
      <c r="A83">
        <v>8</v>
      </c>
      <c r="B83" t="s">
        <v>192</v>
      </c>
      <c r="C83" t="s">
        <v>754</v>
      </c>
      <c r="D83" t="s">
        <v>164</v>
      </c>
      <c r="E83" t="s">
        <v>1169</v>
      </c>
      <c r="F83" t="s">
        <v>1170</v>
      </c>
    </row>
    <row r="84" spans="1:6" x14ac:dyDescent="0.2">
      <c r="A84">
        <v>9</v>
      </c>
      <c r="B84" t="s">
        <v>192</v>
      </c>
      <c r="C84" t="s">
        <v>752</v>
      </c>
      <c r="D84" t="s">
        <v>161</v>
      </c>
      <c r="E84" t="s">
        <v>757</v>
      </c>
      <c r="F84" t="s">
        <v>1171</v>
      </c>
    </row>
    <row r="85" spans="1:6" x14ac:dyDescent="0.2">
      <c r="A85">
        <v>10</v>
      </c>
      <c r="B85" t="s">
        <v>196</v>
      </c>
      <c r="C85" t="s">
        <v>750</v>
      </c>
      <c r="D85" t="s">
        <v>164</v>
      </c>
      <c r="E85" t="s">
        <v>756</v>
      </c>
      <c r="F85" t="s">
        <v>1172</v>
      </c>
    </row>
    <row r="86" spans="1:6" x14ac:dyDescent="0.2">
      <c r="A86">
        <v>11</v>
      </c>
      <c r="B86" t="s">
        <v>192</v>
      </c>
      <c r="C86" t="s">
        <v>758</v>
      </c>
      <c r="D86" t="s">
        <v>161</v>
      </c>
      <c r="E86" t="s">
        <v>760</v>
      </c>
      <c r="F86" t="s">
        <v>1173</v>
      </c>
    </row>
    <row r="87" spans="1:6" x14ac:dyDescent="0.2">
      <c r="A87">
        <v>12</v>
      </c>
      <c r="B87" t="s">
        <v>192</v>
      </c>
      <c r="C87" t="s">
        <v>761</v>
      </c>
      <c r="D87" t="s">
        <v>170</v>
      </c>
      <c r="E87" t="s">
        <v>760</v>
      </c>
      <c r="F87" t="s">
        <v>1173</v>
      </c>
    </row>
    <row r="88" spans="1:6" x14ac:dyDescent="0.2">
      <c r="A88">
        <v>13</v>
      </c>
      <c r="B88" t="s">
        <v>196</v>
      </c>
      <c r="C88" t="s">
        <v>758</v>
      </c>
      <c r="D88" t="s">
        <v>161</v>
      </c>
      <c r="E88" t="s">
        <v>759</v>
      </c>
      <c r="F88" t="s">
        <v>1174</v>
      </c>
    </row>
    <row r="89" spans="1:6" x14ac:dyDescent="0.2">
      <c r="A89">
        <v>14</v>
      </c>
      <c r="B89" t="s">
        <v>192</v>
      </c>
      <c r="C89" t="s">
        <v>762</v>
      </c>
      <c r="D89" t="s">
        <v>164</v>
      </c>
      <c r="E89" t="s">
        <v>763</v>
      </c>
      <c r="F89" t="s">
        <v>1175</v>
      </c>
    </row>
    <row r="90" spans="1:6" x14ac:dyDescent="0.2">
      <c r="A90">
        <v>15</v>
      </c>
      <c r="B90" t="s">
        <v>196</v>
      </c>
      <c r="C90" t="s">
        <v>764</v>
      </c>
      <c r="D90" t="s">
        <v>170</v>
      </c>
      <c r="E90" t="s">
        <v>765</v>
      </c>
      <c r="F90" t="s">
        <v>1176</v>
      </c>
    </row>
    <row r="91" spans="1:6" x14ac:dyDescent="0.2">
      <c r="A91">
        <v>16</v>
      </c>
      <c r="B91" t="s">
        <v>196</v>
      </c>
      <c r="C91" t="s">
        <v>748</v>
      </c>
      <c r="D91" t="s">
        <v>170</v>
      </c>
      <c r="E91" t="s">
        <v>766</v>
      </c>
      <c r="F91" t="s">
        <v>1177</v>
      </c>
    </row>
    <row r="92" spans="1:6" x14ac:dyDescent="0.2">
      <c r="A92">
        <v>17</v>
      </c>
      <c r="B92" t="s">
        <v>192</v>
      </c>
      <c r="C92" t="s">
        <v>815</v>
      </c>
      <c r="D92" t="s">
        <v>167</v>
      </c>
      <c r="E92" t="s">
        <v>1178</v>
      </c>
      <c r="F92" t="s">
        <v>1179</v>
      </c>
    </row>
    <row r="93" spans="1:6" x14ac:dyDescent="0.2">
      <c r="A93">
        <v>18</v>
      </c>
      <c r="B93" t="s">
        <v>196</v>
      </c>
      <c r="C93" t="s">
        <v>752</v>
      </c>
      <c r="D93" t="s">
        <v>164</v>
      </c>
      <c r="E93" t="s">
        <v>767</v>
      </c>
      <c r="F93" t="s">
        <v>1180</v>
      </c>
    </row>
    <row r="94" spans="1:6" x14ac:dyDescent="0.2">
      <c r="A94">
        <v>19</v>
      </c>
      <c r="B94" t="s">
        <v>196</v>
      </c>
      <c r="C94" t="s">
        <v>754</v>
      </c>
      <c r="D94" t="s">
        <v>161</v>
      </c>
      <c r="E94" t="s">
        <v>768</v>
      </c>
      <c r="F94" t="s">
        <v>1181</v>
      </c>
    </row>
    <row r="95" spans="1:6" x14ac:dyDescent="0.2">
      <c r="A95">
        <v>20</v>
      </c>
      <c r="B95" t="s">
        <v>196</v>
      </c>
      <c r="C95" t="s">
        <v>769</v>
      </c>
      <c r="D95" t="s">
        <v>167</v>
      </c>
      <c r="E95" t="s">
        <v>770</v>
      </c>
      <c r="F95" t="s">
        <v>1182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G82"/>
  <sheetViews>
    <sheetView workbookViewId="0"/>
  </sheetViews>
  <sheetFormatPr baseColWidth="10" defaultColWidth="8.83203125" defaultRowHeight="15" x14ac:dyDescent="0.2"/>
  <cols>
    <col min="1" max="1" width="12" customWidth="1"/>
    <col min="2" max="2" width="15" customWidth="1"/>
    <col min="3" max="3" width="25" customWidth="1"/>
    <col min="4" max="4" width="12" customWidth="1"/>
    <col min="5" max="5" width="14" customWidth="1"/>
    <col min="6" max="7" width="12" customWidth="1"/>
  </cols>
  <sheetData>
    <row r="1" spans="1:7" ht="19" x14ac:dyDescent="0.25">
      <c r="A1" s="4" t="s">
        <v>1184</v>
      </c>
    </row>
    <row r="3" spans="1:7" ht="16" x14ac:dyDescent="0.2">
      <c r="A3" s="1" t="s">
        <v>1125</v>
      </c>
    </row>
    <row r="5" spans="1:7" x14ac:dyDescent="0.2">
      <c r="A5" s="2" t="s">
        <v>150</v>
      </c>
      <c r="B5">
        <v>246</v>
      </c>
    </row>
    <row r="6" spans="1:7" x14ac:dyDescent="0.2">
      <c r="A6" s="2" t="s">
        <v>1126</v>
      </c>
      <c r="B6">
        <v>30</v>
      </c>
    </row>
    <row r="7" spans="1:7" x14ac:dyDescent="0.2">
      <c r="A7" s="2" t="s">
        <v>250</v>
      </c>
      <c r="B7" t="s">
        <v>1185</v>
      </c>
    </row>
    <row r="8" spans="1:7" x14ac:dyDescent="0.2">
      <c r="A8" s="2" t="s">
        <v>471</v>
      </c>
      <c r="B8" t="s">
        <v>1186</v>
      </c>
    </row>
    <row r="9" spans="1:7" x14ac:dyDescent="0.2">
      <c r="A9" s="2" t="s">
        <v>1129</v>
      </c>
      <c r="B9" t="s">
        <v>1187</v>
      </c>
    </row>
    <row r="10" spans="1:7" x14ac:dyDescent="0.2">
      <c r="A10" s="2" t="s">
        <v>1131</v>
      </c>
      <c r="B10" t="s">
        <v>1081</v>
      </c>
    </row>
    <row r="11" spans="1:7" x14ac:dyDescent="0.2">
      <c r="A11" s="2" t="s">
        <v>1132</v>
      </c>
      <c r="B11" t="s">
        <v>566</v>
      </c>
    </row>
    <row r="14" spans="1:7" ht="16" x14ac:dyDescent="0.2">
      <c r="A14" s="1" t="s">
        <v>1133</v>
      </c>
    </row>
    <row r="16" spans="1:7" ht="16" x14ac:dyDescent="0.2">
      <c r="A16" s="3" t="s">
        <v>1134</v>
      </c>
      <c r="B16" s="3" t="s">
        <v>191</v>
      </c>
      <c r="C16" s="3" t="s">
        <v>746</v>
      </c>
      <c r="D16" s="3" t="s">
        <v>158</v>
      </c>
      <c r="E16" s="3" t="s">
        <v>159</v>
      </c>
      <c r="F16" s="3" t="s">
        <v>809</v>
      </c>
      <c r="G16" s="3" t="s">
        <v>810</v>
      </c>
    </row>
    <row r="17" spans="1:7" x14ac:dyDescent="0.2">
      <c r="A17">
        <v>1</v>
      </c>
      <c r="B17" t="s">
        <v>192</v>
      </c>
      <c r="C17" t="s">
        <v>748</v>
      </c>
      <c r="D17" t="s">
        <v>170</v>
      </c>
      <c r="E17" t="s">
        <v>749</v>
      </c>
      <c r="F17">
        <v>2026</v>
      </c>
      <c r="G17">
        <v>-1</v>
      </c>
    </row>
    <row r="18" spans="1:7" x14ac:dyDescent="0.2">
      <c r="A18">
        <v>2</v>
      </c>
      <c r="B18" t="s">
        <v>192</v>
      </c>
      <c r="C18" t="s">
        <v>748</v>
      </c>
      <c r="D18" t="s">
        <v>170</v>
      </c>
      <c r="E18" t="s">
        <v>749</v>
      </c>
      <c r="F18">
        <v>2026</v>
      </c>
      <c r="G18">
        <v>-1</v>
      </c>
    </row>
    <row r="19" spans="1:7" x14ac:dyDescent="0.2">
      <c r="A19">
        <v>3</v>
      </c>
      <c r="B19" t="s">
        <v>192</v>
      </c>
      <c r="C19" t="s">
        <v>748</v>
      </c>
      <c r="D19" t="s">
        <v>170</v>
      </c>
      <c r="E19" t="s">
        <v>749</v>
      </c>
      <c r="F19">
        <v>2026</v>
      </c>
      <c r="G19">
        <v>-1</v>
      </c>
    </row>
    <row r="20" spans="1:7" x14ac:dyDescent="0.2">
      <c r="A20">
        <v>4</v>
      </c>
      <c r="B20" t="s">
        <v>196</v>
      </c>
      <c r="C20" t="s">
        <v>752</v>
      </c>
      <c r="D20" t="s">
        <v>161</v>
      </c>
      <c r="E20" t="s">
        <v>753</v>
      </c>
      <c r="F20">
        <v>2021</v>
      </c>
      <c r="G20">
        <v>4</v>
      </c>
    </row>
    <row r="21" spans="1:7" x14ac:dyDescent="0.2">
      <c r="A21">
        <v>5</v>
      </c>
      <c r="B21" t="s">
        <v>192</v>
      </c>
      <c r="C21" t="s">
        <v>752</v>
      </c>
      <c r="D21" t="s">
        <v>161</v>
      </c>
      <c r="E21" t="s">
        <v>757</v>
      </c>
      <c r="F21">
        <v>2021</v>
      </c>
      <c r="G21">
        <v>4</v>
      </c>
    </row>
    <row r="22" spans="1:7" x14ac:dyDescent="0.2">
      <c r="A22">
        <v>6</v>
      </c>
      <c r="B22" t="s">
        <v>196</v>
      </c>
      <c r="C22" t="s">
        <v>758</v>
      </c>
      <c r="D22" t="s">
        <v>161</v>
      </c>
      <c r="E22" t="s">
        <v>759</v>
      </c>
      <c r="F22">
        <v>2021</v>
      </c>
      <c r="G22">
        <v>4</v>
      </c>
    </row>
    <row r="23" spans="1:7" x14ac:dyDescent="0.2">
      <c r="A23">
        <v>7</v>
      </c>
      <c r="B23" t="s">
        <v>192</v>
      </c>
      <c r="C23" t="s">
        <v>758</v>
      </c>
      <c r="D23" t="s">
        <v>161</v>
      </c>
      <c r="E23" t="s">
        <v>760</v>
      </c>
      <c r="F23">
        <v>2021</v>
      </c>
      <c r="G23">
        <v>4</v>
      </c>
    </row>
    <row r="24" spans="1:7" x14ac:dyDescent="0.2">
      <c r="A24">
        <v>8</v>
      </c>
      <c r="B24" t="s">
        <v>192</v>
      </c>
      <c r="C24" t="s">
        <v>762</v>
      </c>
      <c r="D24" t="s">
        <v>164</v>
      </c>
      <c r="E24" t="s">
        <v>763</v>
      </c>
      <c r="F24">
        <v>2021</v>
      </c>
      <c r="G24">
        <v>4</v>
      </c>
    </row>
    <row r="25" spans="1:7" x14ac:dyDescent="0.2">
      <c r="A25">
        <v>9</v>
      </c>
      <c r="B25" t="s">
        <v>196</v>
      </c>
      <c r="C25" t="s">
        <v>764</v>
      </c>
      <c r="D25" t="s">
        <v>170</v>
      </c>
      <c r="E25" t="s">
        <v>765</v>
      </c>
      <c r="F25">
        <v>2018</v>
      </c>
      <c r="G25">
        <v>7</v>
      </c>
    </row>
    <row r="26" spans="1:7" x14ac:dyDescent="0.2">
      <c r="A26">
        <v>10</v>
      </c>
      <c r="B26" t="s">
        <v>196</v>
      </c>
      <c r="C26" t="s">
        <v>748</v>
      </c>
      <c r="D26" t="s">
        <v>170</v>
      </c>
      <c r="E26" t="s">
        <v>766</v>
      </c>
      <c r="F26">
        <v>2026</v>
      </c>
      <c r="G26">
        <v>-1</v>
      </c>
    </row>
    <row r="27" spans="1:7" x14ac:dyDescent="0.2">
      <c r="A27">
        <v>11</v>
      </c>
      <c r="B27" t="s">
        <v>196</v>
      </c>
      <c r="C27" t="s">
        <v>748</v>
      </c>
      <c r="D27" t="s">
        <v>170</v>
      </c>
      <c r="E27" t="s">
        <v>766</v>
      </c>
      <c r="F27">
        <v>2026</v>
      </c>
      <c r="G27">
        <v>-1</v>
      </c>
    </row>
    <row r="28" spans="1:7" x14ac:dyDescent="0.2">
      <c r="A28">
        <v>12</v>
      </c>
      <c r="B28" t="s">
        <v>196</v>
      </c>
      <c r="C28" t="s">
        <v>748</v>
      </c>
      <c r="D28" t="s">
        <v>170</v>
      </c>
      <c r="E28" t="s">
        <v>766</v>
      </c>
      <c r="F28">
        <v>2026</v>
      </c>
      <c r="G28">
        <v>-1</v>
      </c>
    </row>
    <row r="29" spans="1:7" x14ac:dyDescent="0.2">
      <c r="A29">
        <v>13</v>
      </c>
      <c r="B29" t="s">
        <v>196</v>
      </c>
      <c r="C29" t="s">
        <v>754</v>
      </c>
      <c r="D29" t="s">
        <v>161</v>
      </c>
      <c r="E29" t="s">
        <v>768</v>
      </c>
      <c r="F29">
        <v>1992</v>
      </c>
      <c r="G29">
        <v>33</v>
      </c>
    </row>
    <row r="30" spans="1:7" x14ac:dyDescent="0.2">
      <c r="A30">
        <v>14</v>
      </c>
      <c r="B30" t="s">
        <v>196</v>
      </c>
      <c r="C30" t="s">
        <v>769</v>
      </c>
      <c r="D30" t="s">
        <v>167</v>
      </c>
      <c r="E30" t="s">
        <v>770</v>
      </c>
      <c r="F30">
        <v>1996</v>
      </c>
      <c r="G30">
        <v>29</v>
      </c>
    </row>
    <row r="31" spans="1:7" x14ac:dyDescent="0.2">
      <c r="A31">
        <v>15</v>
      </c>
      <c r="B31" t="s">
        <v>196</v>
      </c>
      <c r="C31" t="s">
        <v>771</v>
      </c>
      <c r="D31" t="s">
        <v>167</v>
      </c>
      <c r="E31" t="s">
        <v>772</v>
      </c>
      <c r="F31">
        <v>2016</v>
      </c>
      <c r="G31">
        <v>9</v>
      </c>
    </row>
    <row r="32" spans="1:7" x14ac:dyDescent="0.2">
      <c r="A32">
        <v>16</v>
      </c>
      <c r="B32" t="s">
        <v>196</v>
      </c>
      <c r="C32" t="s">
        <v>754</v>
      </c>
      <c r="D32" t="s">
        <v>164</v>
      </c>
      <c r="E32" t="s">
        <v>773</v>
      </c>
      <c r="F32">
        <v>1997</v>
      </c>
      <c r="G32">
        <v>28</v>
      </c>
    </row>
    <row r="33" spans="1:7" x14ac:dyDescent="0.2">
      <c r="A33">
        <v>17</v>
      </c>
      <c r="B33" t="s">
        <v>196</v>
      </c>
      <c r="C33" t="s">
        <v>762</v>
      </c>
      <c r="D33" t="s">
        <v>164</v>
      </c>
      <c r="E33" t="s">
        <v>774</v>
      </c>
      <c r="F33">
        <v>2021</v>
      </c>
      <c r="G33">
        <v>4</v>
      </c>
    </row>
    <row r="34" spans="1:7" x14ac:dyDescent="0.2">
      <c r="A34">
        <v>18</v>
      </c>
      <c r="B34" t="s">
        <v>196</v>
      </c>
      <c r="C34" t="s">
        <v>775</v>
      </c>
      <c r="D34" t="s">
        <v>164</v>
      </c>
      <c r="E34" t="s">
        <v>776</v>
      </c>
      <c r="F34">
        <v>2011</v>
      </c>
      <c r="G34">
        <v>14</v>
      </c>
    </row>
    <row r="35" spans="1:7" x14ac:dyDescent="0.2">
      <c r="A35">
        <v>19</v>
      </c>
      <c r="B35" t="s">
        <v>196</v>
      </c>
      <c r="C35" t="s">
        <v>780</v>
      </c>
      <c r="D35" t="s">
        <v>167</v>
      </c>
      <c r="E35" t="s">
        <v>781</v>
      </c>
      <c r="F35">
        <v>1997</v>
      </c>
      <c r="G35">
        <v>28</v>
      </c>
    </row>
    <row r="36" spans="1:7" x14ac:dyDescent="0.2">
      <c r="A36">
        <v>20</v>
      </c>
      <c r="B36" t="s">
        <v>216</v>
      </c>
      <c r="C36" t="s">
        <v>748</v>
      </c>
      <c r="D36" t="s">
        <v>170</v>
      </c>
      <c r="E36" t="s">
        <v>782</v>
      </c>
      <c r="F36">
        <v>2026</v>
      </c>
      <c r="G36">
        <v>-1</v>
      </c>
    </row>
    <row r="37" spans="1:7" x14ac:dyDescent="0.2">
      <c r="A37">
        <v>21</v>
      </c>
      <c r="B37" t="s">
        <v>216</v>
      </c>
      <c r="C37" t="s">
        <v>748</v>
      </c>
      <c r="D37" t="s">
        <v>170</v>
      </c>
      <c r="E37" t="s">
        <v>782</v>
      </c>
      <c r="F37">
        <v>2026</v>
      </c>
      <c r="G37">
        <v>-1</v>
      </c>
    </row>
    <row r="38" spans="1:7" x14ac:dyDescent="0.2">
      <c r="A38">
        <v>22</v>
      </c>
      <c r="B38" t="s">
        <v>216</v>
      </c>
      <c r="C38" t="s">
        <v>748</v>
      </c>
      <c r="D38" t="s">
        <v>170</v>
      </c>
      <c r="E38" t="s">
        <v>782</v>
      </c>
      <c r="F38">
        <v>2026</v>
      </c>
      <c r="G38">
        <v>-1</v>
      </c>
    </row>
    <row r="39" spans="1:7" x14ac:dyDescent="0.2">
      <c r="A39">
        <v>23</v>
      </c>
      <c r="B39" t="s">
        <v>784</v>
      </c>
      <c r="C39" t="s">
        <v>783</v>
      </c>
      <c r="D39" t="s">
        <v>167</v>
      </c>
      <c r="E39" t="s">
        <v>785</v>
      </c>
      <c r="F39">
        <v>2000</v>
      </c>
      <c r="G39">
        <v>25</v>
      </c>
    </row>
    <row r="40" spans="1:7" x14ac:dyDescent="0.2">
      <c r="A40">
        <v>24</v>
      </c>
      <c r="B40" t="s">
        <v>216</v>
      </c>
      <c r="C40" t="s">
        <v>754</v>
      </c>
      <c r="D40" t="s">
        <v>164</v>
      </c>
      <c r="E40" t="s">
        <v>785</v>
      </c>
      <c r="F40">
        <v>1997</v>
      </c>
      <c r="G40">
        <v>28</v>
      </c>
    </row>
    <row r="41" spans="1:7" x14ac:dyDescent="0.2">
      <c r="A41">
        <v>25</v>
      </c>
      <c r="B41" t="s">
        <v>192</v>
      </c>
      <c r="C41" t="s">
        <v>764</v>
      </c>
      <c r="D41" t="s">
        <v>170</v>
      </c>
      <c r="E41" t="s">
        <v>786</v>
      </c>
      <c r="F41">
        <v>2018</v>
      </c>
      <c r="G41">
        <v>7</v>
      </c>
    </row>
    <row r="42" spans="1:7" x14ac:dyDescent="0.2">
      <c r="A42">
        <v>26</v>
      </c>
      <c r="B42" t="s">
        <v>216</v>
      </c>
      <c r="C42" t="s">
        <v>762</v>
      </c>
      <c r="D42" t="s">
        <v>164</v>
      </c>
      <c r="E42" t="s">
        <v>787</v>
      </c>
      <c r="F42">
        <v>2021</v>
      </c>
      <c r="G42">
        <v>4</v>
      </c>
    </row>
    <row r="43" spans="1:7" x14ac:dyDescent="0.2">
      <c r="A43">
        <v>27</v>
      </c>
      <c r="B43" t="s">
        <v>216</v>
      </c>
      <c r="C43" t="s">
        <v>754</v>
      </c>
      <c r="D43" t="s">
        <v>161</v>
      </c>
      <c r="E43" t="s">
        <v>788</v>
      </c>
      <c r="F43">
        <v>2011</v>
      </c>
      <c r="G43">
        <v>14</v>
      </c>
    </row>
    <row r="44" spans="1:7" x14ac:dyDescent="0.2">
      <c r="A44">
        <v>28</v>
      </c>
      <c r="B44" t="s">
        <v>216</v>
      </c>
      <c r="C44" t="s">
        <v>790</v>
      </c>
      <c r="D44" t="s">
        <v>161</v>
      </c>
      <c r="E44" t="s">
        <v>791</v>
      </c>
      <c r="F44">
        <v>1992</v>
      </c>
      <c r="G44">
        <v>33</v>
      </c>
    </row>
    <row r="45" spans="1:7" x14ac:dyDescent="0.2">
      <c r="A45">
        <v>29</v>
      </c>
      <c r="B45" t="s">
        <v>216</v>
      </c>
      <c r="C45" t="s">
        <v>761</v>
      </c>
      <c r="D45" t="s">
        <v>167</v>
      </c>
      <c r="E45" t="s">
        <v>792</v>
      </c>
      <c r="F45">
        <v>2023</v>
      </c>
      <c r="G45">
        <v>2</v>
      </c>
    </row>
    <row r="46" spans="1:7" x14ac:dyDescent="0.2">
      <c r="A46">
        <v>30</v>
      </c>
      <c r="B46" t="s">
        <v>216</v>
      </c>
      <c r="C46" t="s">
        <v>793</v>
      </c>
      <c r="D46" t="s">
        <v>161</v>
      </c>
      <c r="E46" t="s">
        <v>794</v>
      </c>
      <c r="F46">
        <v>2022</v>
      </c>
      <c r="G46">
        <v>3</v>
      </c>
    </row>
    <row r="49" spans="1:6" ht="16" x14ac:dyDescent="0.2">
      <c r="A49" s="1" t="s">
        <v>1135</v>
      </c>
    </row>
    <row r="51" spans="1:6" ht="16" x14ac:dyDescent="0.2">
      <c r="A51" s="3" t="s">
        <v>70</v>
      </c>
      <c r="B51" s="3" t="s">
        <v>282</v>
      </c>
      <c r="C51" s="3" t="s">
        <v>1136</v>
      </c>
      <c r="D51" s="3" t="s">
        <v>557</v>
      </c>
      <c r="E51" s="3" t="s">
        <v>1137</v>
      </c>
    </row>
    <row r="52" spans="1:6" x14ac:dyDescent="0.2">
      <c r="A52">
        <v>2025</v>
      </c>
      <c r="B52" t="s">
        <v>1138</v>
      </c>
      <c r="C52" t="s">
        <v>1081</v>
      </c>
      <c r="D52" t="s">
        <v>1138</v>
      </c>
      <c r="E52" t="s">
        <v>1139</v>
      </c>
    </row>
    <row r="53" spans="1:6" x14ac:dyDescent="0.2">
      <c r="A53">
        <v>2030</v>
      </c>
      <c r="B53" t="s">
        <v>1188</v>
      </c>
      <c r="C53" t="s">
        <v>1189</v>
      </c>
      <c r="D53" t="s">
        <v>1190</v>
      </c>
      <c r="E53" t="s">
        <v>1143</v>
      </c>
    </row>
    <row r="54" spans="1:6" x14ac:dyDescent="0.2">
      <c r="A54">
        <v>2035</v>
      </c>
      <c r="B54" t="s">
        <v>1191</v>
      </c>
      <c r="C54" t="s">
        <v>1192</v>
      </c>
      <c r="D54" t="s">
        <v>1193</v>
      </c>
      <c r="E54" t="s">
        <v>1147</v>
      </c>
    </row>
    <row r="55" spans="1:6" x14ac:dyDescent="0.2">
      <c r="A55">
        <v>2040</v>
      </c>
      <c r="B55" t="s">
        <v>1194</v>
      </c>
      <c r="C55" t="s">
        <v>1195</v>
      </c>
      <c r="D55" t="s">
        <v>1196</v>
      </c>
      <c r="E55" t="s">
        <v>1151</v>
      </c>
    </row>
    <row r="56" spans="1:6" x14ac:dyDescent="0.2">
      <c r="A56">
        <v>2045</v>
      </c>
      <c r="B56" t="s">
        <v>1197</v>
      </c>
      <c r="C56" t="s">
        <v>1198</v>
      </c>
      <c r="D56" t="s">
        <v>1199</v>
      </c>
      <c r="E56" t="s">
        <v>1155</v>
      </c>
    </row>
    <row r="57" spans="1:6" x14ac:dyDescent="0.2">
      <c r="A57">
        <v>2050</v>
      </c>
      <c r="B57" t="s">
        <v>1200</v>
      </c>
      <c r="C57" t="s">
        <v>1200</v>
      </c>
      <c r="D57" t="s">
        <v>1081</v>
      </c>
      <c r="E57" t="s">
        <v>1157</v>
      </c>
    </row>
    <row r="60" spans="1:6" ht="16" x14ac:dyDescent="0.2">
      <c r="A60" s="1" t="s">
        <v>1158</v>
      </c>
    </row>
    <row r="62" spans="1:6" ht="16" x14ac:dyDescent="0.2">
      <c r="A62" s="3" t="s">
        <v>1134</v>
      </c>
      <c r="B62" s="3" t="s">
        <v>191</v>
      </c>
      <c r="C62" s="3" t="s">
        <v>746</v>
      </c>
      <c r="D62" s="3" t="s">
        <v>158</v>
      </c>
      <c r="E62" s="3" t="s">
        <v>159</v>
      </c>
      <c r="F62" s="3" t="s">
        <v>1159</v>
      </c>
    </row>
    <row r="63" spans="1:6" x14ac:dyDescent="0.2">
      <c r="A63">
        <v>1</v>
      </c>
      <c r="B63" t="s">
        <v>192</v>
      </c>
      <c r="C63" t="s">
        <v>750</v>
      </c>
      <c r="D63" t="s">
        <v>164</v>
      </c>
      <c r="E63" t="s">
        <v>751</v>
      </c>
      <c r="F63" t="s">
        <v>1163</v>
      </c>
    </row>
    <row r="64" spans="1:6" x14ac:dyDescent="0.2">
      <c r="A64">
        <v>2</v>
      </c>
      <c r="B64" t="s">
        <v>192</v>
      </c>
      <c r="C64" t="s">
        <v>752</v>
      </c>
      <c r="D64" t="s">
        <v>164</v>
      </c>
      <c r="E64" t="s">
        <v>753</v>
      </c>
      <c r="F64" t="s">
        <v>1164</v>
      </c>
    </row>
    <row r="65" spans="1:6" x14ac:dyDescent="0.2">
      <c r="A65">
        <v>3</v>
      </c>
      <c r="B65" t="s">
        <v>192</v>
      </c>
      <c r="C65" t="s">
        <v>754</v>
      </c>
      <c r="D65" t="s">
        <v>161</v>
      </c>
      <c r="E65" t="s">
        <v>755</v>
      </c>
      <c r="F65" t="s">
        <v>1165</v>
      </c>
    </row>
    <row r="66" spans="1:6" x14ac:dyDescent="0.2">
      <c r="A66">
        <v>4</v>
      </c>
      <c r="B66" t="s">
        <v>196</v>
      </c>
      <c r="C66" t="s">
        <v>752</v>
      </c>
      <c r="D66" t="s">
        <v>161</v>
      </c>
      <c r="E66" t="s">
        <v>753</v>
      </c>
      <c r="F66" t="s">
        <v>1166</v>
      </c>
    </row>
    <row r="67" spans="1:6" x14ac:dyDescent="0.2">
      <c r="A67">
        <v>5</v>
      </c>
      <c r="B67" t="s">
        <v>192</v>
      </c>
      <c r="C67" t="s">
        <v>752</v>
      </c>
      <c r="D67" t="s">
        <v>161</v>
      </c>
      <c r="E67" t="s">
        <v>757</v>
      </c>
      <c r="F67" t="s">
        <v>1171</v>
      </c>
    </row>
    <row r="68" spans="1:6" x14ac:dyDescent="0.2">
      <c r="A68">
        <v>6</v>
      </c>
      <c r="B68" t="s">
        <v>196</v>
      </c>
      <c r="C68" t="s">
        <v>750</v>
      </c>
      <c r="D68" t="s">
        <v>164</v>
      </c>
      <c r="E68" t="s">
        <v>756</v>
      </c>
      <c r="F68" t="s">
        <v>1172</v>
      </c>
    </row>
    <row r="69" spans="1:6" x14ac:dyDescent="0.2">
      <c r="A69">
        <v>7</v>
      </c>
      <c r="B69" t="s">
        <v>192</v>
      </c>
      <c r="C69" t="s">
        <v>758</v>
      </c>
      <c r="D69" t="s">
        <v>161</v>
      </c>
      <c r="E69" t="s">
        <v>760</v>
      </c>
      <c r="F69" t="s">
        <v>1173</v>
      </c>
    </row>
    <row r="70" spans="1:6" x14ac:dyDescent="0.2">
      <c r="A70">
        <v>8</v>
      </c>
      <c r="B70" t="s">
        <v>192</v>
      </c>
      <c r="C70" t="s">
        <v>761</v>
      </c>
      <c r="D70" t="s">
        <v>170</v>
      </c>
      <c r="E70" t="s">
        <v>760</v>
      </c>
      <c r="F70" t="s">
        <v>1173</v>
      </c>
    </row>
    <row r="71" spans="1:6" x14ac:dyDescent="0.2">
      <c r="A71">
        <v>9</v>
      </c>
      <c r="B71" t="s">
        <v>196</v>
      </c>
      <c r="C71" t="s">
        <v>758</v>
      </c>
      <c r="D71" t="s">
        <v>161</v>
      </c>
      <c r="E71" t="s">
        <v>759</v>
      </c>
      <c r="F71" t="s">
        <v>1174</v>
      </c>
    </row>
    <row r="72" spans="1:6" x14ac:dyDescent="0.2">
      <c r="A72">
        <v>10</v>
      </c>
      <c r="B72" t="s">
        <v>192</v>
      </c>
      <c r="C72" t="s">
        <v>762</v>
      </c>
      <c r="D72" t="s">
        <v>164</v>
      </c>
      <c r="E72" t="s">
        <v>763</v>
      </c>
      <c r="F72" t="s">
        <v>1175</v>
      </c>
    </row>
    <row r="73" spans="1:6" x14ac:dyDescent="0.2">
      <c r="A73">
        <v>11</v>
      </c>
      <c r="B73" t="s">
        <v>196</v>
      </c>
      <c r="C73" t="s">
        <v>764</v>
      </c>
      <c r="D73" t="s">
        <v>170</v>
      </c>
      <c r="E73" t="s">
        <v>765</v>
      </c>
      <c r="F73" t="s">
        <v>1176</v>
      </c>
    </row>
    <row r="74" spans="1:6" x14ac:dyDescent="0.2">
      <c r="A74">
        <v>12</v>
      </c>
      <c r="B74" t="s">
        <v>196</v>
      </c>
      <c r="C74" t="s">
        <v>754</v>
      </c>
      <c r="D74" t="s">
        <v>161</v>
      </c>
      <c r="E74" t="s">
        <v>768</v>
      </c>
      <c r="F74" t="s">
        <v>1181</v>
      </c>
    </row>
    <row r="75" spans="1:6" x14ac:dyDescent="0.2">
      <c r="A75">
        <v>13</v>
      </c>
      <c r="B75" t="s">
        <v>196</v>
      </c>
      <c r="C75" t="s">
        <v>769</v>
      </c>
      <c r="D75" t="s">
        <v>167</v>
      </c>
      <c r="E75" t="s">
        <v>770</v>
      </c>
      <c r="F75" t="s">
        <v>1182</v>
      </c>
    </row>
    <row r="76" spans="1:6" x14ac:dyDescent="0.2">
      <c r="A76">
        <v>14</v>
      </c>
      <c r="B76" t="s">
        <v>196</v>
      </c>
      <c r="C76" t="s">
        <v>771</v>
      </c>
      <c r="D76" t="s">
        <v>167</v>
      </c>
      <c r="E76" t="s">
        <v>772</v>
      </c>
      <c r="F76" t="s">
        <v>1201</v>
      </c>
    </row>
    <row r="77" spans="1:6" x14ac:dyDescent="0.2">
      <c r="A77">
        <v>15</v>
      </c>
      <c r="B77" t="s">
        <v>196</v>
      </c>
      <c r="C77" t="s">
        <v>761</v>
      </c>
      <c r="D77" t="s">
        <v>170</v>
      </c>
      <c r="E77" t="s">
        <v>1202</v>
      </c>
      <c r="F77" t="s">
        <v>1203</v>
      </c>
    </row>
    <row r="78" spans="1:6" x14ac:dyDescent="0.2">
      <c r="A78">
        <v>16</v>
      </c>
      <c r="B78" t="s">
        <v>196</v>
      </c>
      <c r="C78" t="s">
        <v>754</v>
      </c>
      <c r="D78" t="s">
        <v>164</v>
      </c>
      <c r="E78" t="s">
        <v>773</v>
      </c>
      <c r="F78" t="s">
        <v>1204</v>
      </c>
    </row>
    <row r="79" spans="1:6" x14ac:dyDescent="0.2">
      <c r="A79">
        <v>17</v>
      </c>
      <c r="B79" t="s">
        <v>196</v>
      </c>
      <c r="C79" t="s">
        <v>898</v>
      </c>
      <c r="D79" t="s">
        <v>167</v>
      </c>
      <c r="E79" t="s">
        <v>888</v>
      </c>
      <c r="F79" t="s">
        <v>1205</v>
      </c>
    </row>
    <row r="80" spans="1:6" x14ac:dyDescent="0.2">
      <c r="A80">
        <v>18</v>
      </c>
      <c r="B80" t="s">
        <v>196</v>
      </c>
      <c r="C80" t="s">
        <v>762</v>
      </c>
      <c r="D80" t="s">
        <v>164</v>
      </c>
      <c r="E80" t="s">
        <v>774</v>
      </c>
      <c r="F80" t="s">
        <v>1206</v>
      </c>
    </row>
    <row r="81" spans="1:6" x14ac:dyDescent="0.2">
      <c r="A81">
        <v>19</v>
      </c>
      <c r="B81" t="s">
        <v>216</v>
      </c>
      <c r="C81" t="s">
        <v>777</v>
      </c>
      <c r="D81" t="s">
        <v>161</v>
      </c>
      <c r="E81" t="s">
        <v>778</v>
      </c>
      <c r="F81" t="s">
        <v>1207</v>
      </c>
    </row>
    <row r="82" spans="1:6" x14ac:dyDescent="0.2">
      <c r="A82">
        <v>20</v>
      </c>
      <c r="B82" t="s">
        <v>196</v>
      </c>
      <c r="C82" t="s">
        <v>775</v>
      </c>
      <c r="D82" t="s">
        <v>164</v>
      </c>
      <c r="E82" t="s">
        <v>776</v>
      </c>
      <c r="F82" t="s">
        <v>1207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G82"/>
  <sheetViews>
    <sheetView workbookViewId="0"/>
  </sheetViews>
  <sheetFormatPr baseColWidth="10" defaultColWidth="8.83203125" defaultRowHeight="15" x14ac:dyDescent="0.2"/>
  <cols>
    <col min="1" max="1" width="12" customWidth="1"/>
    <col min="2" max="2" width="15" customWidth="1"/>
    <col min="3" max="3" width="25" customWidth="1"/>
    <col min="4" max="4" width="12" customWidth="1"/>
    <col min="5" max="5" width="14" customWidth="1"/>
    <col min="6" max="7" width="12" customWidth="1"/>
  </cols>
  <sheetData>
    <row r="1" spans="1:7" ht="19" x14ac:dyDescent="0.25">
      <c r="A1" s="4" t="s">
        <v>1208</v>
      </c>
    </row>
    <row r="3" spans="1:7" ht="16" x14ac:dyDescent="0.2">
      <c r="A3" s="1" t="s">
        <v>1125</v>
      </c>
    </row>
    <row r="5" spans="1:7" x14ac:dyDescent="0.2">
      <c r="A5" s="2" t="s">
        <v>150</v>
      </c>
      <c r="B5">
        <v>246</v>
      </c>
    </row>
    <row r="6" spans="1:7" x14ac:dyDescent="0.2">
      <c r="A6" s="2" t="s">
        <v>1126</v>
      </c>
      <c r="B6">
        <v>30</v>
      </c>
    </row>
    <row r="7" spans="1:7" x14ac:dyDescent="0.2">
      <c r="A7" s="2" t="s">
        <v>250</v>
      </c>
      <c r="B7" t="s">
        <v>1185</v>
      </c>
    </row>
    <row r="8" spans="1:7" x14ac:dyDescent="0.2">
      <c r="A8" s="2" t="s">
        <v>471</v>
      </c>
      <c r="B8" t="s">
        <v>1186</v>
      </c>
    </row>
    <row r="9" spans="1:7" x14ac:dyDescent="0.2">
      <c r="A9" s="2" t="s">
        <v>1129</v>
      </c>
      <c r="B9" t="s">
        <v>1187</v>
      </c>
    </row>
    <row r="10" spans="1:7" x14ac:dyDescent="0.2">
      <c r="A10" s="2" t="s">
        <v>1131</v>
      </c>
      <c r="B10" t="s">
        <v>1081</v>
      </c>
    </row>
    <row r="11" spans="1:7" x14ac:dyDescent="0.2">
      <c r="A11" s="2" t="s">
        <v>1132</v>
      </c>
      <c r="B11" t="s">
        <v>568</v>
      </c>
    </row>
    <row r="14" spans="1:7" ht="16" x14ac:dyDescent="0.2">
      <c r="A14" s="1" t="s">
        <v>1133</v>
      </c>
    </row>
    <row r="16" spans="1:7" ht="16" x14ac:dyDescent="0.2">
      <c r="A16" s="3" t="s">
        <v>1134</v>
      </c>
      <c r="B16" s="3" t="s">
        <v>191</v>
      </c>
      <c r="C16" s="3" t="s">
        <v>746</v>
      </c>
      <c r="D16" s="3" t="s">
        <v>158</v>
      </c>
      <c r="E16" s="3" t="s">
        <v>159</v>
      </c>
      <c r="F16" s="3" t="s">
        <v>809</v>
      </c>
      <c r="G16" s="3" t="s">
        <v>810</v>
      </c>
    </row>
    <row r="17" spans="1:7" x14ac:dyDescent="0.2">
      <c r="A17">
        <v>1</v>
      </c>
      <c r="B17" t="s">
        <v>192</v>
      </c>
      <c r="C17" t="s">
        <v>748</v>
      </c>
      <c r="D17" t="s">
        <v>170</v>
      </c>
      <c r="E17" t="s">
        <v>749</v>
      </c>
      <c r="F17">
        <v>2026</v>
      </c>
      <c r="G17">
        <v>-1</v>
      </c>
    </row>
    <row r="18" spans="1:7" x14ac:dyDescent="0.2">
      <c r="A18">
        <v>2</v>
      </c>
      <c r="B18" t="s">
        <v>192</v>
      </c>
      <c r="C18" t="s">
        <v>748</v>
      </c>
      <c r="D18" t="s">
        <v>170</v>
      </c>
      <c r="E18" t="s">
        <v>749</v>
      </c>
      <c r="F18">
        <v>2026</v>
      </c>
      <c r="G18">
        <v>-1</v>
      </c>
    </row>
    <row r="19" spans="1:7" x14ac:dyDescent="0.2">
      <c r="A19">
        <v>3</v>
      </c>
      <c r="B19" t="s">
        <v>192</v>
      </c>
      <c r="C19" t="s">
        <v>748</v>
      </c>
      <c r="D19" t="s">
        <v>170</v>
      </c>
      <c r="E19" t="s">
        <v>749</v>
      </c>
      <c r="F19">
        <v>2026</v>
      </c>
      <c r="G19">
        <v>-1</v>
      </c>
    </row>
    <row r="20" spans="1:7" x14ac:dyDescent="0.2">
      <c r="A20">
        <v>4</v>
      </c>
      <c r="B20" t="s">
        <v>196</v>
      </c>
      <c r="C20" t="s">
        <v>752</v>
      </c>
      <c r="D20" t="s">
        <v>161</v>
      </c>
      <c r="E20" t="s">
        <v>753</v>
      </c>
      <c r="F20">
        <v>2021</v>
      </c>
      <c r="G20">
        <v>4</v>
      </c>
    </row>
    <row r="21" spans="1:7" x14ac:dyDescent="0.2">
      <c r="A21">
        <v>5</v>
      </c>
      <c r="B21" t="s">
        <v>192</v>
      </c>
      <c r="C21" t="s">
        <v>752</v>
      </c>
      <c r="D21" t="s">
        <v>161</v>
      </c>
      <c r="E21" t="s">
        <v>757</v>
      </c>
      <c r="F21">
        <v>2021</v>
      </c>
      <c r="G21">
        <v>4</v>
      </c>
    </row>
    <row r="22" spans="1:7" x14ac:dyDescent="0.2">
      <c r="A22">
        <v>6</v>
      </c>
      <c r="B22" t="s">
        <v>196</v>
      </c>
      <c r="C22" t="s">
        <v>758</v>
      </c>
      <c r="D22" t="s">
        <v>161</v>
      </c>
      <c r="E22" t="s">
        <v>759</v>
      </c>
      <c r="F22">
        <v>2021</v>
      </c>
      <c r="G22">
        <v>4</v>
      </c>
    </row>
    <row r="23" spans="1:7" x14ac:dyDescent="0.2">
      <c r="A23">
        <v>7</v>
      </c>
      <c r="B23" t="s">
        <v>192</v>
      </c>
      <c r="C23" t="s">
        <v>758</v>
      </c>
      <c r="D23" t="s">
        <v>161</v>
      </c>
      <c r="E23" t="s">
        <v>760</v>
      </c>
      <c r="F23">
        <v>2021</v>
      </c>
      <c r="G23">
        <v>4</v>
      </c>
    </row>
    <row r="24" spans="1:7" x14ac:dyDescent="0.2">
      <c r="A24">
        <v>8</v>
      </c>
      <c r="B24" t="s">
        <v>192</v>
      </c>
      <c r="C24" t="s">
        <v>762</v>
      </c>
      <c r="D24" t="s">
        <v>164</v>
      </c>
      <c r="E24" t="s">
        <v>763</v>
      </c>
      <c r="F24">
        <v>2021</v>
      </c>
      <c r="G24">
        <v>4</v>
      </c>
    </row>
    <row r="25" spans="1:7" x14ac:dyDescent="0.2">
      <c r="A25">
        <v>9</v>
      </c>
      <c r="B25" t="s">
        <v>196</v>
      </c>
      <c r="C25" t="s">
        <v>764</v>
      </c>
      <c r="D25" t="s">
        <v>170</v>
      </c>
      <c r="E25" t="s">
        <v>765</v>
      </c>
      <c r="F25">
        <v>2018</v>
      </c>
      <c r="G25">
        <v>7</v>
      </c>
    </row>
    <row r="26" spans="1:7" x14ac:dyDescent="0.2">
      <c r="A26">
        <v>10</v>
      </c>
      <c r="B26" t="s">
        <v>196</v>
      </c>
      <c r="C26" t="s">
        <v>748</v>
      </c>
      <c r="D26" t="s">
        <v>170</v>
      </c>
      <c r="E26" t="s">
        <v>766</v>
      </c>
      <c r="F26">
        <v>2026</v>
      </c>
      <c r="G26">
        <v>-1</v>
      </c>
    </row>
    <row r="27" spans="1:7" x14ac:dyDescent="0.2">
      <c r="A27">
        <v>11</v>
      </c>
      <c r="B27" t="s">
        <v>196</v>
      </c>
      <c r="C27" t="s">
        <v>748</v>
      </c>
      <c r="D27" t="s">
        <v>170</v>
      </c>
      <c r="E27" t="s">
        <v>766</v>
      </c>
      <c r="F27">
        <v>2026</v>
      </c>
      <c r="G27">
        <v>-1</v>
      </c>
    </row>
    <row r="28" spans="1:7" x14ac:dyDescent="0.2">
      <c r="A28">
        <v>12</v>
      </c>
      <c r="B28" t="s">
        <v>196</v>
      </c>
      <c r="C28" t="s">
        <v>748</v>
      </c>
      <c r="D28" t="s">
        <v>170</v>
      </c>
      <c r="E28" t="s">
        <v>766</v>
      </c>
      <c r="F28">
        <v>2026</v>
      </c>
      <c r="G28">
        <v>-1</v>
      </c>
    </row>
    <row r="29" spans="1:7" x14ac:dyDescent="0.2">
      <c r="A29">
        <v>13</v>
      </c>
      <c r="B29" t="s">
        <v>196</v>
      </c>
      <c r="C29" t="s">
        <v>754</v>
      </c>
      <c r="D29" t="s">
        <v>161</v>
      </c>
      <c r="E29" t="s">
        <v>768</v>
      </c>
      <c r="F29">
        <v>1992</v>
      </c>
      <c r="G29">
        <v>33</v>
      </c>
    </row>
    <row r="30" spans="1:7" x14ac:dyDescent="0.2">
      <c r="A30">
        <v>14</v>
      </c>
      <c r="B30" t="s">
        <v>196</v>
      </c>
      <c r="C30" t="s">
        <v>769</v>
      </c>
      <c r="D30" t="s">
        <v>167</v>
      </c>
      <c r="E30" t="s">
        <v>770</v>
      </c>
      <c r="F30">
        <v>1996</v>
      </c>
      <c r="G30">
        <v>29</v>
      </c>
    </row>
    <row r="31" spans="1:7" x14ac:dyDescent="0.2">
      <c r="A31">
        <v>15</v>
      </c>
      <c r="B31" t="s">
        <v>196</v>
      </c>
      <c r="C31" t="s">
        <v>771</v>
      </c>
      <c r="D31" t="s">
        <v>167</v>
      </c>
      <c r="E31" t="s">
        <v>772</v>
      </c>
      <c r="F31">
        <v>2016</v>
      </c>
      <c r="G31">
        <v>9</v>
      </c>
    </row>
    <row r="32" spans="1:7" x14ac:dyDescent="0.2">
      <c r="A32">
        <v>16</v>
      </c>
      <c r="B32" t="s">
        <v>196</v>
      </c>
      <c r="C32" t="s">
        <v>754</v>
      </c>
      <c r="D32" t="s">
        <v>164</v>
      </c>
      <c r="E32" t="s">
        <v>773</v>
      </c>
      <c r="F32">
        <v>1997</v>
      </c>
      <c r="G32">
        <v>28</v>
      </c>
    </row>
    <row r="33" spans="1:7" x14ac:dyDescent="0.2">
      <c r="A33">
        <v>17</v>
      </c>
      <c r="B33" t="s">
        <v>196</v>
      </c>
      <c r="C33" t="s">
        <v>762</v>
      </c>
      <c r="D33" t="s">
        <v>164</v>
      </c>
      <c r="E33" t="s">
        <v>774</v>
      </c>
      <c r="F33">
        <v>2021</v>
      </c>
      <c r="G33">
        <v>4</v>
      </c>
    </row>
    <row r="34" spans="1:7" x14ac:dyDescent="0.2">
      <c r="A34">
        <v>18</v>
      </c>
      <c r="B34" t="s">
        <v>196</v>
      </c>
      <c r="C34" t="s">
        <v>775</v>
      </c>
      <c r="D34" t="s">
        <v>164</v>
      </c>
      <c r="E34" t="s">
        <v>776</v>
      </c>
      <c r="F34">
        <v>2011</v>
      </c>
      <c r="G34">
        <v>14</v>
      </c>
    </row>
    <row r="35" spans="1:7" x14ac:dyDescent="0.2">
      <c r="A35">
        <v>19</v>
      </c>
      <c r="B35" t="s">
        <v>196</v>
      </c>
      <c r="C35" t="s">
        <v>780</v>
      </c>
      <c r="D35" t="s">
        <v>167</v>
      </c>
      <c r="E35" t="s">
        <v>781</v>
      </c>
      <c r="F35">
        <v>1997</v>
      </c>
      <c r="G35">
        <v>28</v>
      </c>
    </row>
    <row r="36" spans="1:7" x14ac:dyDescent="0.2">
      <c r="A36">
        <v>20</v>
      </c>
      <c r="B36" t="s">
        <v>216</v>
      </c>
      <c r="C36" t="s">
        <v>748</v>
      </c>
      <c r="D36" t="s">
        <v>170</v>
      </c>
      <c r="E36" t="s">
        <v>782</v>
      </c>
      <c r="F36">
        <v>2026</v>
      </c>
      <c r="G36">
        <v>-1</v>
      </c>
    </row>
    <row r="37" spans="1:7" x14ac:dyDescent="0.2">
      <c r="A37">
        <v>21</v>
      </c>
      <c r="B37" t="s">
        <v>216</v>
      </c>
      <c r="C37" t="s">
        <v>748</v>
      </c>
      <c r="D37" t="s">
        <v>170</v>
      </c>
      <c r="E37" t="s">
        <v>782</v>
      </c>
      <c r="F37">
        <v>2026</v>
      </c>
      <c r="G37">
        <v>-1</v>
      </c>
    </row>
    <row r="38" spans="1:7" x14ac:dyDescent="0.2">
      <c r="A38">
        <v>22</v>
      </c>
      <c r="B38" t="s">
        <v>216</v>
      </c>
      <c r="C38" t="s">
        <v>748</v>
      </c>
      <c r="D38" t="s">
        <v>170</v>
      </c>
      <c r="E38" t="s">
        <v>782</v>
      </c>
      <c r="F38">
        <v>2026</v>
      </c>
      <c r="G38">
        <v>-1</v>
      </c>
    </row>
    <row r="39" spans="1:7" x14ac:dyDescent="0.2">
      <c r="A39">
        <v>23</v>
      </c>
      <c r="B39" t="s">
        <v>784</v>
      </c>
      <c r="C39" t="s">
        <v>783</v>
      </c>
      <c r="D39" t="s">
        <v>167</v>
      </c>
      <c r="E39" t="s">
        <v>785</v>
      </c>
      <c r="F39">
        <v>2000</v>
      </c>
      <c r="G39">
        <v>25</v>
      </c>
    </row>
    <row r="40" spans="1:7" x14ac:dyDescent="0.2">
      <c r="A40">
        <v>24</v>
      </c>
      <c r="B40" t="s">
        <v>216</v>
      </c>
      <c r="C40" t="s">
        <v>754</v>
      </c>
      <c r="D40" t="s">
        <v>164</v>
      </c>
      <c r="E40" t="s">
        <v>785</v>
      </c>
      <c r="F40">
        <v>1997</v>
      </c>
      <c r="G40">
        <v>28</v>
      </c>
    </row>
    <row r="41" spans="1:7" x14ac:dyDescent="0.2">
      <c r="A41">
        <v>25</v>
      </c>
      <c r="B41" t="s">
        <v>192</v>
      </c>
      <c r="C41" t="s">
        <v>764</v>
      </c>
      <c r="D41" t="s">
        <v>170</v>
      </c>
      <c r="E41" t="s">
        <v>786</v>
      </c>
      <c r="F41">
        <v>2018</v>
      </c>
      <c r="G41">
        <v>7</v>
      </c>
    </row>
    <row r="42" spans="1:7" x14ac:dyDescent="0.2">
      <c r="A42">
        <v>26</v>
      </c>
      <c r="B42" t="s">
        <v>216</v>
      </c>
      <c r="C42" t="s">
        <v>762</v>
      </c>
      <c r="D42" t="s">
        <v>164</v>
      </c>
      <c r="E42" t="s">
        <v>787</v>
      </c>
      <c r="F42">
        <v>2021</v>
      </c>
      <c r="G42">
        <v>4</v>
      </c>
    </row>
    <row r="43" spans="1:7" x14ac:dyDescent="0.2">
      <c r="A43">
        <v>27</v>
      </c>
      <c r="B43" t="s">
        <v>216</v>
      </c>
      <c r="C43" t="s">
        <v>754</v>
      </c>
      <c r="D43" t="s">
        <v>161</v>
      </c>
      <c r="E43" t="s">
        <v>788</v>
      </c>
      <c r="F43">
        <v>2011</v>
      </c>
      <c r="G43">
        <v>14</v>
      </c>
    </row>
    <row r="44" spans="1:7" x14ac:dyDescent="0.2">
      <c r="A44">
        <v>28</v>
      </c>
      <c r="B44" t="s">
        <v>216</v>
      </c>
      <c r="C44" t="s">
        <v>790</v>
      </c>
      <c r="D44" t="s">
        <v>161</v>
      </c>
      <c r="E44" t="s">
        <v>791</v>
      </c>
      <c r="F44">
        <v>1992</v>
      </c>
      <c r="G44">
        <v>33</v>
      </c>
    </row>
    <row r="45" spans="1:7" x14ac:dyDescent="0.2">
      <c r="A45">
        <v>29</v>
      </c>
      <c r="B45" t="s">
        <v>216</v>
      </c>
      <c r="C45" t="s">
        <v>761</v>
      </c>
      <c r="D45" t="s">
        <v>167</v>
      </c>
      <c r="E45" t="s">
        <v>792</v>
      </c>
      <c r="F45">
        <v>2023</v>
      </c>
      <c r="G45">
        <v>2</v>
      </c>
    </row>
    <row r="46" spans="1:7" x14ac:dyDescent="0.2">
      <c r="A46">
        <v>30</v>
      </c>
      <c r="B46" t="s">
        <v>216</v>
      </c>
      <c r="C46" t="s">
        <v>793</v>
      </c>
      <c r="D46" t="s">
        <v>161</v>
      </c>
      <c r="E46" t="s">
        <v>794</v>
      </c>
      <c r="F46">
        <v>2022</v>
      </c>
      <c r="G46">
        <v>3</v>
      </c>
    </row>
    <row r="49" spans="1:6" ht="16" x14ac:dyDescent="0.2">
      <c r="A49" s="1" t="s">
        <v>1135</v>
      </c>
    </row>
    <row r="51" spans="1:6" ht="16" x14ac:dyDescent="0.2">
      <c r="A51" s="3" t="s">
        <v>70</v>
      </c>
      <c r="B51" s="3" t="s">
        <v>282</v>
      </c>
      <c r="C51" s="3" t="s">
        <v>1136</v>
      </c>
      <c r="D51" s="3" t="s">
        <v>557</v>
      </c>
      <c r="E51" s="3" t="s">
        <v>1137</v>
      </c>
    </row>
    <row r="52" spans="1:6" x14ac:dyDescent="0.2">
      <c r="A52">
        <v>2025</v>
      </c>
      <c r="B52" t="s">
        <v>1138</v>
      </c>
      <c r="C52" t="s">
        <v>1081</v>
      </c>
      <c r="D52" t="s">
        <v>1138</v>
      </c>
      <c r="E52" t="s">
        <v>1139</v>
      </c>
    </row>
    <row r="53" spans="1:6" x14ac:dyDescent="0.2">
      <c r="A53">
        <v>2030</v>
      </c>
      <c r="B53" t="s">
        <v>1188</v>
      </c>
      <c r="C53" t="s">
        <v>1189</v>
      </c>
      <c r="D53" t="s">
        <v>1190</v>
      </c>
      <c r="E53" t="s">
        <v>1143</v>
      </c>
    </row>
    <row r="54" spans="1:6" x14ac:dyDescent="0.2">
      <c r="A54">
        <v>2035</v>
      </c>
      <c r="B54" t="s">
        <v>1191</v>
      </c>
      <c r="C54" t="s">
        <v>1192</v>
      </c>
      <c r="D54" t="s">
        <v>1193</v>
      </c>
      <c r="E54" t="s">
        <v>1147</v>
      </c>
    </row>
    <row r="55" spans="1:6" x14ac:dyDescent="0.2">
      <c r="A55">
        <v>2040</v>
      </c>
      <c r="B55" t="s">
        <v>1194</v>
      </c>
      <c r="C55" t="s">
        <v>1195</v>
      </c>
      <c r="D55" t="s">
        <v>1196</v>
      </c>
      <c r="E55" t="s">
        <v>1151</v>
      </c>
    </row>
    <row r="56" spans="1:6" x14ac:dyDescent="0.2">
      <c r="A56">
        <v>2045</v>
      </c>
      <c r="B56" t="s">
        <v>1197</v>
      </c>
      <c r="C56" t="s">
        <v>1198</v>
      </c>
      <c r="D56" t="s">
        <v>1199</v>
      </c>
      <c r="E56" t="s">
        <v>1155</v>
      </c>
    </row>
    <row r="57" spans="1:6" x14ac:dyDescent="0.2">
      <c r="A57">
        <v>2050</v>
      </c>
      <c r="B57" t="s">
        <v>1200</v>
      </c>
      <c r="C57" t="s">
        <v>1200</v>
      </c>
      <c r="D57" t="s">
        <v>1081</v>
      </c>
      <c r="E57" t="s">
        <v>1157</v>
      </c>
    </row>
    <row r="60" spans="1:6" ht="16" x14ac:dyDescent="0.2">
      <c r="A60" s="1" t="s">
        <v>1158</v>
      </c>
    </row>
    <row r="62" spans="1:6" ht="16" x14ac:dyDescent="0.2">
      <c r="A62" s="3" t="s">
        <v>1134</v>
      </c>
      <c r="B62" s="3" t="s">
        <v>191</v>
      </c>
      <c r="C62" s="3" t="s">
        <v>746</v>
      </c>
      <c r="D62" s="3" t="s">
        <v>158</v>
      </c>
      <c r="E62" s="3" t="s">
        <v>159</v>
      </c>
      <c r="F62" s="3" t="s">
        <v>1159</v>
      </c>
    </row>
    <row r="63" spans="1:6" x14ac:dyDescent="0.2">
      <c r="A63">
        <v>1</v>
      </c>
      <c r="B63" t="s">
        <v>192</v>
      </c>
      <c r="C63" t="s">
        <v>750</v>
      </c>
      <c r="D63" t="s">
        <v>164</v>
      </c>
      <c r="E63" t="s">
        <v>751</v>
      </c>
      <c r="F63" t="s">
        <v>1163</v>
      </c>
    </row>
    <row r="64" spans="1:6" x14ac:dyDescent="0.2">
      <c r="A64">
        <v>2</v>
      </c>
      <c r="B64" t="s">
        <v>192</v>
      </c>
      <c r="C64" t="s">
        <v>752</v>
      </c>
      <c r="D64" t="s">
        <v>164</v>
      </c>
      <c r="E64" t="s">
        <v>753</v>
      </c>
      <c r="F64" t="s">
        <v>1164</v>
      </c>
    </row>
    <row r="65" spans="1:6" x14ac:dyDescent="0.2">
      <c r="A65">
        <v>3</v>
      </c>
      <c r="B65" t="s">
        <v>192</v>
      </c>
      <c r="C65" t="s">
        <v>754</v>
      </c>
      <c r="D65" t="s">
        <v>161</v>
      </c>
      <c r="E65" t="s">
        <v>755</v>
      </c>
      <c r="F65" t="s">
        <v>1165</v>
      </c>
    </row>
    <row r="66" spans="1:6" x14ac:dyDescent="0.2">
      <c r="A66">
        <v>4</v>
      </c>
      <c r="B66" t="s">
        <v>196</v>
      </c>
      <c r="C66" t="s">
        <v>752</v>
      </c>
      <c r="D66" t="s">
        <v>161</v>
      </c>
      <c r="E66" t="s">
        <v>753</v>
      </c>
      <c r="F66" t="s">
        <v>1166</v>
      </c>
    </row>
    <row r="67" spans="1:6" x14ac:dyDescent="0.2">
      <c r="A67">
        <v>5</v>
      </c>
      <c r="B67" t="s">
        <v>192</v>
      </c>
      <c r="C67" t="s">
        <v>752</v>
      </c>
      <c r="D67" t="s">
        <v>161</v>
      </c>
      <c r="E67" t="s">
        <v>757</v>
      </c>
      <c r="F67" t="s">
        <v>1171</v>
      </c>
    </row>
    <row r="68" spans="1:6" x14ac:dyDescent="0.2">
      <c r="A68">
        <v>6</v>
      </c>
      <c r="B68" t="s">
        <v>196</v>
      </c>
      <c r="C68" t="s">
        <v>750</v>
      </c>
      <c r="D68" t="s">
        <v>164</v>
      </c>
      <c r="E68" t="s">
        <v>756</v>
      </c>
      <c r="F68" t="s">
        <v>1172</v>
      </c>
    </row>
    <row r="69" spans="1:6" x14ac:dyDescent="0.2">
      <c r="A69">
        <v>7</v>
      </c>
      <c r="B69" t="s">
        <v>192</v>
      </c>
      <c r="C69" t="s">
        <v>758</v>
      </c>
      <c r="D69" t="s">
        <v>161</v>
      </c>
      <c r="E69" t="s">
        <v>760</v>
      </c>
      <c r="F69" t="s">
        <v>1173</v>
      </c>
    </row>
    <row r="70" spans="1:6" x14ac:dyDescent="0.2">
      <c r="A70">
        <v>8</v>
      </c>
      <c r="B70" t="s">
        <v>192</v>
      </c>
      <c r="C70" t="s">
        <v>761</v>
      </c>
      <c r="D70" t="s">
        <v>170</v>
      </c>
      <c r="E70" t="s">
        <v>760</v>
      </c>
      <c r="F70" t="s">
        <v>1173</v>
      </c>
    </row>
    <row r="71" spans="1:6" x14ac:dyDescent="0.2">
      <c r="A71">
        <v>9</v>
      </c>
      <c r="B71" t="s">
        <v>196</v>
      </c>
      <c r="C71" t="s">
        <v>758</v>
      </c>
      <c r="D71" t="s">
        <v>161</v>
      </c>
      <c r="E71" t="s">
        <v>759</v>
      </c>
      <c r="F71" t="s">
        <v>1174</v>
      </c>
    </row>
    <row r="72" spans="1:6" x14ac:dyDescent="0.2">
      <c r="A72">
        <v>10</v>
      </c>
      <c r="B72" t="s">
        <v>192</v>
      </c>
      <c r="C72" t="s">
        <v>762</v>
      </c>
      <c r="D72" t="s">
        <v>164</v>
      </c>
      <c r="E72" t="s">
        <v>763</v>
      </c>
      <c r="F72" t="s">
        <v>1175</v>
      </c>
    </row>
    <row r="73" spans="1:6" x14ac:dyDescent="0.2">
      <c r="A73">
        <v>11</v>
      </c>
      <c r="B73" t="s">
        <v>196</v>
      </c>
      <c r="C73" t="s">
        <v>764</v>
      </c>
      <c r="D73" t="s">
        <v>170</v>
      </c>
      <c r="E73" t="s">
        <v>765</v>
      </c>
      <c r="F73" t="s">
        <v>1176</v>
      </c>
    </row>
    <row r="74" spans="1:6" x14ac:dyDescent="0.2">
      <c r="A74">
        <v>12</v>
      </c>
      <c r="B74" t="s">
        <v>196</v>
      </c>
      <c r="C74" t="s">
        <v>754</v>
      </c>
      <c r="D74" t="s">
        <v>161</v>
      </c>
      <c r="E74" t="s">
        <v>768</v>
      </c>
      <c r="F74" t="s">
        <v>1181</v>
      </c>
    </row>
    <row r="75" spans="1:6" x14ac:dyDescent="0.2">
      <c r="A75">
        <v>13</v>
      </c>
      <c r="B75" t="s">
        <v>196</v>
      </c>
      <c r="C75" t="s">
        <v>769</v>
      </c>
      <c r="D75" t="s">
        <v>167</v>
      </c>
      <c r="E75" t="s">
        <v>770</v>
      </c>
      <c r="F75" t="s">
        <v>1182</v>
      </c>
    </row>
    <row r="76" spans="1:6" x14ac:dyDescent="0.2">
      <c r="A76">
        <v>14</v>
      </c>
      <c r="B76" t="s">
        <v>196</v>
      </c>
      <c r="C76" t="s">
        <v>771</v>
      </c>
      <c r="D76" t="s">
        <v>167</v>
      </c>
      <c r="E76" t="s">
        <v>772</v>
      </c>
      <c r="F76" t="s">
        <v>1201</v>
      </c>
    </row>
    <row r="77" spans="1:6" x14ac:dyDescent="0.2">
      <c r="A77">
        <v>15</v>
      </c>
      <c r="B77" t="s">
        <v>196</v>
      </c>
      <c r="C77" t="s">
        <v>761</v>
      </c>
      <c r="D77" t="s">
        <v>170</v>
      </c>
      <c r="E77" t="s">
        <v>1202</v>
      </c>
      <c r="F77" t="s">
        <v>1203</v>
      </c>
    </row>
    <row r="78" spans="1:6" x14ac:dyDescent="0.2">
      <c r="A78">
        <v>16</v>
      </c>
      <c r="B78" t="s">
        <v>196</v>
      </c>
      <c r="C78" t="s">
        <v>754</v>
      </c>
      <c r="D78" t="s">
        <v>164</v>
      </c>
      <c r="E78" t="s">
        <v>773</v>
      </c>
      <c r="F78" t="s">
        <v>1204</v>
      </c>
    </row>
    <row r="79" spans="1:6" x14ac:dyDescent="0.2">
      <c r="A79">
        <v>17</v>
      </c>
      <c r="B79" t="s">
        <v>196</v>
      </c>
      <c r="C79" t="s">
        <v>898</v>
      </c>
      <c r="D79" t="s">
        <v>167</v>
      </c>
      <c r="E79" t="s">
        <v>888</v>
      </c>
      <c r="F79" t="s">
        <v>1205</v>
      </c>
    </row>
    <row r="80" spans="1:6" x14ac:dyDescent="0.2">
      <c r="A80">
        <v>18</v>
      </c>
      <c r="B80" t="s">
        <v>196</v>
      </c>
      <c r="C80" t="s">
        <v>762</v>
      </c>
      <c r="D80" t="s">
        <v>164</v>
      </c>
      <c r="E80" t="s">
        <v>774</v>
      </c>
      <c r="F80" t="s">
        <v>1206</v>
      </c>
    </row>
    <row r="81" spans="1:6" x14ac:dyDescent="0.2">
      <c r="A81">
        <v>19</v>
      </c>
      <c r="B81" t="s">
        <v>216</v>
      </c>
      <c r="C81" t="s">
        <v>777</v>
      </c>
      <c r="D81" t="s">
        <v>161</v>
      </c>
      <c r="E81" t="s">
        <v>778</v>
      </c>
      <c r="F81" t="s">
        <v>1207</v>
      </c>
    </row>
    <row r="82" spans="1:6" x14ac:dyDescent="0.2">
      <c r="A82">
        <v>20</v>
      </c>
      <c r="B82" t="s">
        <v>196</v>
      </c>
      <c r="C82" t="s">
        <v>775</v>
      </c>
      <c r="D82" t="s">
        <v>164</v>
      </c>
      <c r="E82" t="s">
        <v>776</v>
      </c>
      <c r="F82" t="s">
        <v>1207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G74"/>
  <sheetViews>
    <sheetView workbookViewId="0"/>
  </sheetViews>
  <sheetFormatPr baseColWidth="10" defaultColWidth="8.83203125" defaultRowHeight="15" x14ac:dyDescent="0.2"/>
  <cols>
    <col min="1" max="1" width="12" customWidth="1"/>
    <col min="2" max="2" width="15" customWidth="1"/>
    <col min="3" max="3" width="25" customWidth="1"/>
    <col min="4" max="4" width="12" customWidth="1"/>
    <col min="5" max="5" width="14" customWidth="1"/>
    <col min="6" max="7" width="12" customWidth="1"/>
  </cols>
  <sheetData>
    <row r="1" spans="1:7" ht="19" x14ac:dyDescent="0.25">
      <c r="A1" s="4" t="s">
        <v>1209</v>
      </c>
    </row>
    <row r="3" spans="1:7" ht="16" x14ac:dyDescent="0.2">
      <c r="A3" s="1" t="s">
        <v>1125</v>
      </c>
    </row>
    <row r="5" spans="1:7" x14ac:dyDescent="0.2">
      <c r="A5" s="2" t="s">
        <v>150</v>
      </c>
      <c r="B5">
        <v>238</v>
      </c>
    </row>
    <row r="6" spans="1:7" x14ac:dyDescent="0.2">
      <c r="A6" s="2" t="s">
        <v>1126</v>
      </c>
      <c r="B6">
        <v>22</v>
      </c>
    </row>
    <row r="7" spans="1:7" x14ac:dyDescent="0.2">
      <c r="A7" s="2" t="s">
        <v>250</v>
      </c>
      <c r="B7" t="s">
        <v>1210</v>
      </c>
    </row>
    <row r="8" spans="1:7" x14ac:dyDescent="0.2">
      <c r="A8" s="2" t="s">
        <v>471</v>
      </c>
      <c r="B8" t="s">
        <v>1211</v>
      </c>
    </row>
    <row r="9" spans="1:7" x14ac:dyDescent="0.2">
      <c r="A9" s="2" t="s">
        <v>1129</v>
      </c>
      <c r="B9" t="s">
        <v>1212</v>
      </c>
    </row>
    <row r="10" spans="1:7" x14ac:dyDescent="0.2">
      <c r="A10" s="2" t="s">
        <v>1131</v>
      </c>
      <c r="B10" t="s">
        <v>1081</v>
      </c>
    </row>
    <row r="11" spans="1:7" x14ac:dyDescent="0.2">
      <c r="A11" s="2" t="s">
        <v>1132</v>
      </c>
      <c r="B11" t="s">
        <v>570</v>
      </c>
    </row>
    <row r="14" spans="1:7" ht="16" x14ac:dyDescent="0.2">
      <c r="A14" s="1" t="s">
        <v>1133</v>
      </c>
    </row>
    <row r="16" spans="1:7" ht="16" x14ac:dyDescent="0.2">
      <c r="A16" s="3" t="s">
        <v>1134</v>
      </c>
      <c r="B16" s="3" t="s">
        <v>191</v>
      </c>
      <c r="C16" s="3" t="s">
        <v>746</v>
      </c>
      <c r="D16" s="3" t="s">
        <v>158</v>
      </c>
      <c r="E16" s="3" t="s">
        <v>159</v>
      </c>
      <c r="F16" s="3" t="s">
        <v>809</v>
      </c>
      <c r="G16" s="3" t="s">
        <v>810</v>
      </c>
    </row>
    <row r="17" spans="1:7" x14ac:dyDescent="0.2">
      <c r="A17">
        <v>1</v>
      </c>
      <c r="B17" t="s">
        <v>192</v>
      </c>
      <c r="C17" t="s">
        <v>748</v>
      </c>
      <c r="D17" t="s">
        <v>170</v>
      </c>
      <c r="E17" t="s">
        <v>749</v>
      </c>
      <c r="F17">
        <v>2026</v>
      </c>
      <c r="G17">
        <v>-1</v>
      </c>
    </row>
    <row r="18" spans="1:7" x14ac:dyDescent="0.2">
      <c r="A18">
        <v>2</v>
      </c>
      <c r="B18" t="s">
        <v>192</v>
      </c>
      <c r="C18" t="s">
        <v>748</v>
      </c>
      <c r="D18" t="s">
        <v>170</v>
      </c>
      <c r="E18" t="s">
        <v>749</v>
      </c>
      <c r="F18">
        <v>2026</v>
      </c>
      <c r="G18">
        <v>-1</v>
      </c>
    </row>
    <row r="19" spans="1:7" x14ac:dyDescent="0.2">
      <c r="A19">
        <v>3</v>
      </c>
      <c r="B19" t="s">
        <v>192</v>
      </c>
      <c r="C19" t="s">
        <v>748</v>
      </c>
      <c r="D19" t="s">
        <v>170</v>
      </c>
      <c r="E19" t="s">
        <v>749</v>
      </c>
      <c r="F19">
        <v>2026</v>
      </c>
      <c r="G19">
        <v>-1</v>
      </c>
    </row>
    <row r="20" spans="1:7" x14ac:dyDescent="0.2">
      <c r="A20">
        <v>4</v>
      </c>
      <c r="B20" t="s">
        <v>196</v>
      </c>
      <c r="C20" t="s">
        <v>752</v>
      </c>
      <c r="D20" t="s">
        <v>161</v>
      </c>
      <c r="E20" t="s">
        <v>753</v>
      </c>
      <c r="F20">
        <v>2021</v>
      </c>
      <c r="G20">
        <v>4</v>
      </c>
    </row>
    <row r="21" spans="1:7" x14ac:dyDescent="0.2">
      <c r="A21">
        <v>5</v>
      </c>
      <c r="B21" t="s">
        <v>192</v>
      </c>
      <c r="C21" t="s">
        <v>752</v>
      </c>
      <c r="D21" t="s">
        <v>161</v>
      </c>
      <c r="E21" t="s">
        <v>757</v>
      </c>
      <c r="F21">
        <v>2021</v>
      </c>
      <c r="G21">
        <v>4</v>
      </c>
    </row>
    <row r="22" spans="1:7" x14ac:dyDescent="0.2">
      <c r="A22">
        <v>6</v>
      </c>
      <c r="B22" t="s">
        <v>196</v>
      </c>
      <c r="C22" t="s">
        <v>758</v>
      </c>
      <c r="D22" t="s">
        <v>161</v>
      </c>
      <c r="E22" t="s">
        <v>759</v>
      </c>
      <c r="F22">
        <v>2021</v>
      </c>
      <c r="G22">
        <v>4</v>
      </c>
    </row>
    <row r="23" spans="1:7" x14ac:dyDescent="0.2">
      <c r="A23">
        <v>7</v>
      </c>
      <c r="B23" t="s">
        <v>192</v>
      </c>
      <c r="C23" t="s">
        <v>758</v>
      </c>
      <c r="D23" t="s">
        <v>161</v>
      </c>
      <c r="E23" t="s">
        <v>760</v>
      </c>
      <c r="F23">
        <v>2021</v>
      </c>
      <c r="G23">
        <v>4</v>
      </c>
    </row>
    <row r="24" spans="1:7" x14ac:dyDescent="0.2">
      <c r="A24">
        <v>8</v>
      </c>
      <c r="B24" t="s">
        <v>192</v>
      </c>
      <c r="C24" t="s">
        <v>762</v>
      </c>
      <c r="D24" t="s">
        <v>164</v>
      </c>
      <c r="E24" t="s">
        <v>763</v>
      </c>
      <c r="F24">
        <v>2021</v>
      </c>
      <c r="G24">
        <v>4</v>
      </c>
    </row>
    <row r="25" spans="1:7" x14ac:dyDescent="0.2">
      <c r="A25">
        <v>9</v>
      </c>
      <c r="B25" t="s">
        <v>196</v>
      </c>
      <c r="C25" t="s">
        <v>764</v>
      </c>
      <c r="D25" t="s">
        <v>170</v>
      </c>
      <c r="E25" t="s">
        <v>765</v>
      </c>
      <c r="F25">
        <v>2018</v>
      </c>
      <c r="G25">
        <v>7</v>
      </c>
    </row>
    <row r="26" spans="1:7" x14ac:dyDescent="0.2">
      <c r="A26">
        <v>10</v>
      </c>
      <c r="B26" t="s">
        <v>196</v>
      </c>
      <c r="C26" t="s">
        <v>748</v>
      </c>
      <c r="D26" t="s">
        <v>170</v>
      </c>
      <c r="E26" t="s">
        <v>766</v>
      </c>
      <c r="F26">
        <v>2026</v>
      </c>
      <c r="G26">
        <v>-1</v>
      </c>
    </row>
    <row r="27" spans="1:7" x14ac:dyDescent="0.2">
      <c r="A27">
        <v>11</v>
      </c>
      <c r="B27" t="s">
        <v>196</v>
      </c>
      <c r="C27" t="s">
        <v>748</v>
      </c>
      <c r="D27" t="s">
        <v>170</v>
      </c>
      <c r="E27" t="s">
        <v>766</v>
      </c>
      <c r="F27">
        <v>2026</v>
      </c>
      <c r="G27">
        <v>-1</v>
      </c>
    </row>
    <row r="28" spans="1:7" x14ac:dyDescent="0.2">
      <c r="A28">
        <v>12</v>
      </c>
      <c r="B28" t="s">
        <v>196</v>
      </c>
      <c r="C28" t="s">
        <v>748</v>
      </c>
      <c r="D28" t="s">
        <v>170</v>
      </c>
      <c r="E28" t="s">
        <v>766</v>
      </c>
      <c r="F28">
        <v>2026</v>
      </c>
      <c r="G28">
        <v>-1</v>
      </c>
    </row>
    <row r="29" spans="1:7" x14ac:dyDescent="0.2">
      <c r="A29">
        <v>13</v>
      </c>
      <c r="B29" t="s">
        <v>196</v>
      </c>
      <c r="C29" t="s">
        <v>771</v>
      </c>
      <c r="D29" t="s">
        <v>167</v>
      </c>
      <c r="E29" t="s">
        <v>772</v>
      </c>
      <c r="F29">
        <v>2016</v>
      </c>
      <c r="G29">
        <v>9</v>
      </c>
    </row>
    <row r="30" spans="1:7" x14ac:dyDescent="0.2">
      <c r="A30">
        <v>14</v>
      </c>
      <c r="B30" t="s">
        <v>196</v>
      </c>
      <c r="C30" t="s">
        <v>762</v>
      </c>
      <c r="D30" t="s">
        <v>164</v>
      </c>
      <c r="E30" t="s">
        <v>774</v>
      </c>
      <c r="F30">
        <v>2021</v>
      </c>
      <c r="G30">
        <v>4</v>
      </c>
    </row>
    <row r="31" spans="1:7" x14ac:dyDescent="0.2">
      <c r="A31">
        <v>15</v>
      </c>
      <c r="B31" t="s">
        <v>216</v>
      </c>
      <c r="C31" t="s">
        <v>748</v>
      </c>
      <c r="D31" t="s">
        <v>170</v>
      </c>
      <c r="E31" t="s">
        <v>782</v>
      </c>
      <c r="F31">
        <v>2026</v>
      </c>
      <c r="G31">
        <v>-1</v>
      </c>
    </row>
    <row r="32" spans="1:7" x14ac:dyDescent="0.2">
      <c r="A32">
        <v>16</v>
      </c>
      <c r="B32" t="s">
        <v>216</v>
      </c>
      <c r="C32" t="s">
        <v>748</v>
      </c>
      <c r="D32" t="s">
        <v>170</v>
      </c>
      <c r="E32" t="s">
        <v>782</v>
      </c>
      <c r="F32">
        <v>2026</v>
      </c>
      <c r="G32">
        <v>-1</v>
      </c>
    </row>
    <row r="33" spans="1:7" x14ac:dyDescent="0.2">
      <c r="A33">
        <v>17</v>
      </c>
      <c r="B33" t="s">
        <v>216</v>
      </c>
      <c r="C33" t="s">
        <v>748</v>
      </c>
      <c r="D33" t="s">
        <v>170</v>
      </c>
      <c r="E33" t="s">
        <v>782</v>
      </c>
      <c r="F33">
        <v>2026</v>
      </c>
      <c r="G33">
        <v>-1</v>
      </c>
    </row>
    <row r="34" spans="1:7" x14ac:dyDescent="0.2">
      <c r="A34">
        <v>18</v>
      </c>
      <c r="B34" t="s">
        <v>192</v>
      </c>
      <c r="C34" t="s">
        <v>764</v>
      </c>
      <c r="D34" t="s">
        <v>170</v>
      </c>
      <c r="E34" t="s">
        <v>786</v>
      </c>
      <c r="F34">
        <v>2018</v>
      </c>
      <c r="G34">
        <v>7</v>
      </c>
    </row>
    <row r="35" spans="1:7" x14ac:dyDescent="0.2">
      <c r="A35">
        <v>19</v>
      </c>
      <c r="B35" t="s">
        <v>216</v>
      </c>
      <c r="C35" t="s">
        <v>762</v>
      </c>
      <c r="D35" t="s">
        <v>164</v>
      </c>
      <c r="E35" t="s">
        <v>787</v>
      </c>
      <c r="F35">
        <v>2021</v>
      </c>
      <c r="G35">
        <v>4</v>
      </c>
    </row>
    <row r="36" spans="1:7" x14ac:dyDescent="0.2">
      <c r="A36">
        <v>20</v>
      </c>
      <c r="B36" t="s">
        <v>216</v>
      </c>
      <c r="C36" t="s">
        <v>754</v>
      </c>
      <c r="D36" t="s">
        <v>161</v>
      </c>
      <c r="E36" t="s">
        <v>788</v>
      </c>
      <c r="F36">
        <v>2011</v>
      </c>
      <c r="G36">
        <v>14</v>
      </c>
    </row>
    <row r="37" spans="1:7" x14ac:dyDescent="0.2">
      <c r="A37">
        <v>21</v>
      </c>
      <c r="B37" t="s">
        <v>216</v>
      </c>
      <c r="C37" t="s">
        <v>761</v>
      </c>
      <c r="D37" t="s">
        <v>167</v>
      </c>
      <c r="E37" t="s">
        <v>792</v>
      </c>
      <c r="F37">
        <v>2023</v>
      </c>
      <c r="G37">
        <v>2</v>
      </c>
    </row>
    <row r="38" spans="1:7" x14ac:dyDescent="0.2">
      <c r="A38">
        <v>22</v>
      </c>
      <c r="B38" t="s">
        <v>216</v>
      </c>
      <c r="C38" t="s">
        <v>793</v>
      </c>
      <c r="D38" t="s">
        <v>161</v>
      </c>
      <c r="E38" t="s">
        <v>794</v>
      </c>
      <c r="F38">
        <v>2022</v>
      </c>
      <c r="G38">
        <v>3</v>
      </c>
    </row>
    <row r="41" spans="1:7" ht="16" x14ac:dyDescent="0.2">
      <c r="A41" s="1" t="s">
        <v>1135</v>
      </c>
    </row>
    <row r="43" spans="1:7" ht="16" x14ac:dyDescent="0.2">
      <c r="A43" s="3" t="s">
        <v>70</v>
      </c>
      <c r="B43" s="3" t="s">
        <v>282</v>
      </c>
      <c r="C43" s="3" t="s">
        <v>1136</v>
      </c>
      <c r="D43" s="3" t="s">
        <v>557</v>
      </c>
      <c r="E43" s="3" t="s">
        <v>1137</v>
      </c>
    </row>
    <row r="44" spans="1:7" x14ac:dyDescent="0.2">
      <c r="A44">
        <v>2025</v>
      </c>
      <c r="B44" t="s">
        <v>1138</v>
      </c>
      <c r="C44" t="s">
        <v>1081</v>
      </c>
      <c r="D44" t="s">
        <v>1138</v>
      </c>
      <c r="E44" t="s">
        <v>1139</v>
      </c>
    </row>
    <row r="45" spans="1:7" x14ac:dyDescent="0.2">
      <c r="A45">
        <v>2030</v>
      </c>
      <c r="B45" t="s">
        <v>1213</v>
      </c>
      <c r="C45" t="s">
        <v>1214</v>
      </c>
      <c r="D45" t="s">
        <v>1215</v>
      </c>
      <c r="E45" t="s">
        <v>1143</v>
      </c>
    </row>
    <row r="46" spans="1:7" x14ac:dyDescent="0.2">
      <c r="A46">
        <v>2035</v>
      </c>
      <c r="B46" t="s">
        <v>1216</v>
      </c>
      <c r="C46" t="s">
        <v>1217</v>
      </c>
      <c r="D46" t="s">
        <v>1218</v>
      </c>
      <c r="E46" t="s">
        <v>1147</v>
      </c>
    </row>
    <row r="47" spans="1:7" x14ac:dyDescent="0.2">
      <c r="A47">
        <v>2040</v>
      </c>
      <c r="B47" t="s">
        <v>1219</v>
      </c>
      <c r="C47" t="s">
        <v>1220</v>
      </c>
      <c r="D47" t="s">
        <v>1221</v>
      </c>
      <c r="E47" t="s">
        <v>1151</v>
      </c>
    </row>
    <row r="48" spans="1:7" x14ac:dyDescent="0.2">
      <c r="A48">
        <v>2045</v>
      </c>
      <c r="B48" t="s">
        <v>1222</v>
      </c>
      <c r="C48" t="s">
        <v>1223</v>
      </c>
      <c r="D48" t="s">
        <v>1224</v>
      </c>
      <c r="E48" t="s">
        <v>1155</v>
      </c>
    </row>
    <row r="49" spans="1:6" x14ac:dyDescent="0.2">
      <c r="A49">
        <v>2050</v>
      </c>
      <c r="B49" t="s">
        <v>1225</v>
      </c>
      <c r="C49" t="s">
        <v>1225</v>
      </c>
      <c r="D49" t="s">
        <v>1081</v>
      </c>
      <c r="E49" t="s">
        <v>1157</v>
      </c>
    </row>
    <row r="52" spans="1:6" ht="16" x14ac:dyDescent="0.2">
      <c r="A52" s="1" t="s">
        <v>1158</v>
      </c>
    </row>
    <row r="54" spans="1:6" ht="16" x14ac:dyDescent="0.2">
      <c r="A54" s="3" t="s">
        <v>1134</v>
      </c>
      <c r="B54" s="3" t="s">
        <v>191</v>
      </c>
      <c r="C54" s="3" t="s">
        <v>746</v>
      </c>
      <c r="D54" s="3" t="s">
        <v>158</v>
      </c>
      <c r="E54" s="3" t="s">
        <v>159</v>
      </c>
      <c r="F54" s="3" t="s">
        <v>1159</v>
      </c>
    </row>
    <row r="55" spans="1:6" x14ac:dyDescent="0.2">
      <c r="A55">
        <v>1</v>
      </c>
      <c r="B55" t="s">
        <v>192</v>
      </c>
      <c r="C55" t="s">
        <v>750</v>
      </c>
      <c r="D55" t="s">
        <v>164</v>
      </c>
      <c r="E55" t="s">
        <v>751</v>
      </c>
      <c r="F55" t="s">
        <v>1163</v>
      </c>
    </row>
    <row r="56" spans="1:6" x14ac:dyDescent="0.2">
      <c r="A56">
        <v>2</v>
      </c>
      <c r="B56" t="s">
        <v>192</v>
      </c>
      <c r="C56" t="s">
        <v>754</v>
      </c>
      <c r="D56" t="s">
        <v>161</v>
      </c>
      <c r="E56" t="s">
        <v>755</v>
      </c>
      <c r="F56" t="s">
        <v>1165</v>
      </c>
    </row>
    <row r="57" spans="1:6" x14ac:dyDescent="0.2">
      <c r="A57">
        <v>3</v>
      </c>
      <c r="B57" t="s">
        <v>196</v>
      </c>
      <c r="C57" t="s">
        <v>752</v>
      </c>
      <c r="D57" t="s">
        <v>161</v>
      </c>
      <c r="E57" t="s">
        <v>753</v>
      </c>
      <c r="F57" t="s">
        <v>1166</v>
      </c>
    </row>
    <row r="58" spans="1:6" x14ac:dyDescent="0.2">
      <c r="A58">
        <v>4</v>
      </c>
      <c r="B58" t="s">
        <v>192</v>
      </c>
      <c r="C58" t="s">
        <v>752</v>
      </c>
      <c r="D58" t="s">
        <v>161</v>
      </c>
      <c r="E58" t="s">
        <v>757</v>
      </c>
      <c r="F58" t="s">
        <v>1171</v>
      </c>
    </row>
    <row r="59" spans="1:6" x14ac:dyDescent="0.2">
      <c r="A59">
        <v>5</v>
      </c>
      <c r="B59" t="s">
        <v>192</v>
      </c>
      <c r="C59" t="s">
        <v>758</v>
      </c>
      <c r="D59" t="s">
        <v>161</v>
      </c>
      <c r="E59" t="s">
        <v>760</v>
      </c>
      <c r="F59" t="s">
        <v>1173</v>
      </c>
    </row>
    <row r="60" spans="1:6" x14ac:dyDescent="0.2">
      <c r="A60">
        <v>6</v>
      </c>
      <c r="B60" t="s">
        <v>192</v>
      </c>
      <c r="C60" t="s">
        <v>761</v>
      </c>
      <c r="D60" t="s">
        <v>170</v>
      </c>
      <c r="E60" t="s">
        <v>760</v>
      </c>
      <c r="F60" t="s">
        <v>1173</v>
      </c>
    </row>
    <row r="61" spans="1:6" x14ac:dyDescent="0.2">
      <c r="A61">
        <v>7</v>
      </c>
      <c r="B61" t="s">
        <v>196</v>
      </c>
      <c r="C61" t="s">
        <v>758</v>
      </c>
      <c r="D61" t="s">
        <v>161</v>
      </c>
      <c r="E61" t="s">
        <v>759</v>
      </c>
      <c r="F61" t="s">
        <v>1174</v>
      </c>
    </row>
    <row r="62" spans="1:6" x14ac:dyDescent="0.2">
      <c r="A62">
        <v>8</v>
      </c>
      <c r="B62" t="s">
        <v>192</v>
      </c>
      <c r="C62" t="s">
        <v>762</v>
      </c>
      <c r="D62" t="s">
        <v>164</v>
      </c>
      <c r="E62" t="s">
        <v>763</v>
      </c>
      <c r="F62" t="s">
        <v>1175</v>
      </c>
    </row>
    <row r="63" spans="1:6" x14ac:dyDescent="0.2">
      <c r="A63">
        <v>9</v>
      </c>
      <c r="B63" t="s">
        <v>196</v>
      </c>
      <c r="C63" t="s">
        <v>764</v>
      </c>
      <c r="D63" t="s">
        <v>170</v>
      </c>
      <c r="E63" t="s">
        <v>765</v>
      </c>
      <c r="F63" t="s">
        <v>1176</v>
      </c>
    </row>
    <row r="64" spans="1:6" x14ac:dyDescent="0.2">
      <c r="A64">
        <v>10</v>
      </c>
      <c r="B64" t="s">
        <v>196</v>
      </c>
      <c r="C64" t="s">
        <v>754</v>
      </c>
      <c r="D64" t="s">
        <v>161</v>
      </c>
      <c r="E64" t="s">
        <v>768</v>
      </c>
      <c r="F64" t="s">
        <v>1181</v>
      </c>
    </row>
    <row r="65" spans="1:6" x14ac:dyDescent="0.2">
      <c r="A65">
        <v>11</v>
      </c>
      <c r="B65" t="s">
        <v>196</v>
      </c>
      <c r="C65" t="s">
        <v>769</v>
      </c>
      <c r="D65" t="s">
        <v>167</v>
      </c>
      <c r="E65" t="s">
        <v>770</v>
      </c>
      <c r="F65" t="s">
        <v>1182</v>
      </c>
    </row>
    <row r="66" spans="1:6" x14ac:dyDescent="0.2">
      <c r="A66">
        <v>12</v>
      </c>
      <c r="B66" t="s">
        <v>196</v>
      </c>
      <c r="C66" t="s">
        <v>771</v>
      </c>
      <c r="D66" t="s">
        <v>167</v>
      </c>
      <c r="E66" t="s">
        <v>772</v>
      </c>
      <c r="F66" t="s">
        <v>1201</v>
      </c>
    </row>
    <row r="67" spans="1:6" x14ac:dyDescent="0.2">
      <c r="A67">
        <v>13</v>
      </c>
      <c r="B67" t="s">
        <v>196</v>
      </c>
      <c r="C67" t="s">
        <v>754</v>
      </c>
      <c r="D67" t="s">
        <v>164</v>
      </c>
      <c r="E67" t="s">
        <v>773</v>
      </c>
      <c r="F67" t="s">
        <v>1204</v>
      </c>
    </row>
    <row r="68" spans="1:6" x14ac:dyDescent="0.2">
      <c r="A68">
        <v>14</v>
      </c>
      <c r="B68" t="s">
        <v>196</v>
      </c>
      <c r="C68" t="s">
        <v>762</v>
      </c>
      <c r="D68" t="s">
        <v>164</v>
      </c>
      <c r="E68" t="s">
        <v>774</v>
      </c>
      <c r="F68" t="s">
        <v>1206</v>
      </c>
    </row>
    <row r="69" spans="1:6" x14ac:dyDescent="0.2">
      <c r="A69">
        <v>15</v>
      </c>
      <c r="B69" t="s">
        <v>216</v>
      </c>
      <c r="C69" t="s">
        <v>777</v>
      </c>
      <c r="D69" t="s">
        <v>161</v>
      </c>
      <c r="E69" t="s">
        <v>778</v>
      </c>
      <c r="F69" t="s">
        <v>1207</v>
      </c>
    </row>
    <row r="70" spans="1:6" x14ac:dyDescent="0.2">
      <c r="A70">
        <v>16</v>
      </c>
      <c r="B70" t="s">
        <v>196</v>
      </c>
      <c r="C70" t="s">
        <v>775</v>
      </c>
      <c r="D70" t="s">
        <v>164</v>
      </c>
      <c r="E70" t="s">
        <v>776</v>
      </c>
      <c r="F70" t="s">
        <v>1207</v>
      </c>
    </row>
    <row r="71" spans="1:6" x14ac:dyDescent="0.2">
      <c r="A71">
        <v>17</v>
      </c>
      <c r="B71" t="s">
        <v>206</v>
      </c>
      <c r="C71" t="s">
        <v>762</v>
      </c>
      <c r="D71" t="s">
        <v>164</v>
      </c>
      <c r="E71" t="s">
        <v>820</v>
      </c>
      <c r="F71" t="s">
        <v>828</v>
      </c>
    </row>
    <row r="72" spans="1:6" x14ac:dyDescent="0.2">
      <c r="A72">
        <v>18</v>
      </c>
      <c r="B72" t="s">
        <v>208</v>
      </c>
      <c r="C72" t="s">
        <v>815</v>
      </c>
      <c r="D72" t="s">
        <v>167</v>
      </c>
      <c r="E72" t="s">
        <v>816</v>
      </c>
      <c r="F72" t="s">
        <v>1226</v>
      </c>
    </row>
    <row r="73" spans="1:6" x14ac:dyDescent="0.2">
      <c r="A73">
        <v>19</v>
      </c>
      <c r="B73" t="s">
        <v>196</v>
      </c>
      <c r="C73" t="s">
        <v>780</v>
      </c>
      <c r="D73" t="s">
        <v>167</v>
      </c>
      <c r="E73" t="s">
        <v>781</v>
      </c>
      <c r="F73" t="s">
        <v>1227</v>
      </c>
    </row>
    <row r="74" spans="1:6" x14ac:dyDescent="0.2">
      <c r="A74">
        <v>20</v>
      </c>
      <c r="B74" t="s">
        <v>206</v>
      </c>
      <c r="C74" t="s">
        <v>815</v>
      </c>
      <c r="D74" t="s">
        <v>167</v>
      </c>
      <c r="E74" t="s">
        <v>825</v>
      </c>
      <c r="F74" t="s">
        <v>1228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G74"/>
  <sheetViews>
    <sheetView tabSelected="1" topLeftCell="A35" workbookViewId="0"/>
  </sheetViews>
  <sheetFormatPr baseColWidth="10" defaultColWidth="8.83203125" defaultRowHeight="15" x14ac:dyDescent="0.2"/>
  <cols>
    <col min="1" max="1" width="12" customWidth="1"/>
    <col min="2" max="2" width="15" customWidth="1"/>
    <col min="3" max="3" width="25" customWidth="1"/>
    <col min="4" max="4" width="12" customWidth="1"/>
    <col min="5" max="5" width="14" customWidth="1"/>
    <col min="6" max="7" width="12" customWidth="1"/>
  </cols>
  <sheetData>
    <row r="1" spans="1:7" ht="19" x14ac:dyDescent="0.25">
      <c r="A1" s="4" t="s">
        <v>1229</v>
      </c>
    </row>
    <row r="3" spans="1:7" ht="16" x14ac:dyDescent="0.2">
      <c r="A3" s="1" t="s">
        <v>1125</v>
      </c>
    </row>
    <row r="5" spans="1:7" x14ac:dyDescent="0.2">
      <c r="A5" s="2" t="s">
        <v>150</v>
      </c>
      <c r="B5">
        <v>238</v>
      </c>
    </row>
    <row r="6" spans="1:7" x14ac:dyDescent="0.2">
      <c r="A6" s="2" t="s">
        <v>1126</v>
      </c>
      <c r="B6">
        <v>22</v>
      </c>
    </row>
    <row r="7" spans="1:7" x14ac:dyDescent="0.2">
      <c r="A7" s="2" t="s">
        <v>250</v>
      </c>
      <c r="B7" t="s">
        <v>1210</v>
      </c>
    </row>
    <row r="8" spans="1:7" x14ac:dyDescent="0.2">
      <c r="A8" s="2" t="s">
        <v>471</v>
      </c>
      <c r="B8" t="s">
        <v>1211</v>
      </c>
    </row>
    <row r="9" spans="1:7" x14ac:dyDescent="0.2">
      <c r="A9" s="2" t="s">
        <v>1129</v>
      </c>
      <c r="B9" t="s">
        <v>1212</v>
      </c>
    </row>
    <row r="10" spans="1:7" x14ac:dyDescent="0.2">
      <c r="A10" s="2" t="s">
        <v>1131</v>
      </c>
      <c r="B10" t="s">
        <v>1081</v>
      </c>
    </row>
    <row r="11" spans="1:7" x14ac:dyDescent="0.2">
      <c r="A11" s="2" t="s">
        <v>1132</v>
      </c>
      <c r="B11" t="s">
        <v>572</v>
      </c>
    </row>
    <row r="14" spans="1:7" ht="16" x14ac:dyDescent="0.2">
      <c r="A14" s="1" t="s">
        <v>1133</v>
      </c>
    </row>
    <row r="16" spans="1:7" ht="16" x14ac:dyDescent="0.2">
      <c r="A16" s="3" t="s">
        <v>1134</v>
      </c>
      <c r="B16" s="3" t="s">
        <v>191</v>
      </c>
      <c r="C16" s="3" t="s">
        <v>746</v>
      </c>
      <c r="D16" s="3" t="s">
        <v>158</v>
      </c>
      <c r="E16" s="3" t="s">
        <v>159</v>
      </c>
      <c r="F16" s="3" t="s">
        <v>809</v>
      </c>
      <c r="G16" s="3" t="s">
        <v>810</v>
      </c>
    </row>
    <row r="17" spans="1:7" x14ac:dyDescent="0.2">
      <c r="A17">
        <v>1</v>
      </c>
      <c r="B17" t="s">
        <v>192</v>
      </c>
      <c r="C17" t="s">
        <v>748</v>
      </c>
      <c r="D17" t="s">
        <v>170</v>
      </c>
      <c r="E17" t="s">
        <v>749</v>
      </c>
      <c r="F17">
        <v>2026</v>
      </c>
      <c r="G17">
        <v>-1</v>
      </c>
    </row>
    <row r="18" spans="1:7" x14ac:dyDescent="0.2">
      <c r="A18">
        <v>2</v>
      </c>
      <c r="B18" t="s">
        <v>192</v>
      </c>
      <c r="C18" t="s">
        <v>748</v>
      </c>
      <c r="D18" t="s">
        <v>170</v>
      </c>
      <c r="E18" t="s">
        <v>749</v>
      </c>
      <c r="F18">
        <v>2026</v>
      </c>
      <c r="G18">
        <v>-1</v>
      </c>
    </row>
    <row r="19" spans="1:7" x14ac:dyDescent="0.2">
      <c r="A19">
        <v>3</v>
      </c>
      <c r="B19" t="s">
        <v>192</v>
      </c>
      <c r="C19" t="s">
        <v>748</v>
      </c>
      <c r="D19" t="s">
        <v>170</v>
      </c>
      <c r="E19" t="s">
        <v>749</v>
      </c>
      <c r="F19">
        <v>2026</v>
      </c>
      <c r="G19">
        <v>-1</v>
      </c>
    </row>
    <row r="20" spans="1:7" x14ac:dyDescent="0.2">
      <c r="A20">
        <v>4</v>
      </c>
      <c r="B20" t="s">
        <v>196</v>
      </c>
      <c r="C20" t="s">
        <v>752</v>
      </c>
      <c r="D20" t="s">
        <v>161</v>
      </c>
      <c r="E20" t="s">
        <v>753</v>
      </c>
      <c r="F20">
        <v>2021</v>
      </c>
      <c r="G20">
        <v>4</v>
      </c>
    </row>
    <row r="21" spans="1:7" x14ac:dyDescent="0.2">
      <c r="A21">
        <v>5</v>
      </c>
      <c r="B21" t="s">
        <v>192</v>
      </c>
      <c r="C21" t="s">
        <v>752</v>
      </c>
      <c r="D21" t="s">
        <v>161</v>
      </c>
      <c r="E21" t="s">
        <v>757</v>
      </c>
      <c r="F21">
        <v>2021</v>
      </c>
      <c r="G21">
        <v>4</v>
      </c>
    </row>
    <row r="22" spans="1:7" x14ac:dyDescent="0.2">
      <c r="A22">
        <v>6</v>
      </c>
      <c r="B22" t="s">
        <v>196</v>
      </c>
      <c r="C22" t="s">
        <v>758</v>
      </c>
      <c r="D22" t="s">
        <v>161</v>
      </c>
      <c r="E22" t="s">
        <v>759</v>
      </c>
      <c r="F22">
        <v>2021</v>
      </c>
      <c r="G22">
        <v>4</v>
      </c>
    </row>
    <row r="23" spans="1:7" x14ac:dyDescent="0.2">
      <c r="A23">
        <v>7</v>
      </c>
      <c r="B23" t="s">
        <v>192</v>
      </c>
      <c r="C23" t="s">
        <v>758</v>
      </c>
      <c r="D23" t="s">
        <v>161</v>
      </c>
      <c r="E23" t="s">
        <v>760</v>
      </c>
      <c r="F23">
        <v>2021</v>
      </c>
      <c r="G23">
        <v>4</v>
      </c>
    </row>
    <row r="24" spans="1:7" x14ac:dyDescent="0.2">
      <c r="A24">
        <v>8</v>
      </c>
      <c r="B24" t="s">
        <v>192</v>
      </c>
      <c r="C24" t="s">
        <v>762</v>
      </c>
      <c r="D24" t="s">
        <v>164</v>
      </c>
      <c r="E24" t="s">
        <v>763</v>
      </c>
      <c r="F24">
        <v>2021</v>
      </c>
      <c r="G24">
        <v>4</v>
      </c>
    </row>
    <row r="25" spans="1:7" x14ac:dyDescent="0.2">
      <c r="A25">
        <v>9</v>
      </c>
      <c r="B25" t="s">
        <v>196</v>
      </c>
      <c r="C25" t="s">
        <v>764</v>
      </c>
      <c r="D25" t="s">
        <v>170</v>
      </c>
      <c r="E25" t="s">
        <v>765</v>
      </c>
      <c r="F25">
        <v>2018</v>
      </c>
      <c r="G25">
        <v>7</v>
      </c>
    </row>
    <row r="26" spans="1:7" x14ac:dyDescent="0.2">
      <c r="A26">
        <v>10</v>
      </c>
      <c r="B26" t="s">
        <v>196</v>
      </c>
      <c r="C26" t="s">
        <v>748</v>
      </c>
      <c r="D26" t="s">
        <v>170</v>
      </c>
      <c r="E26" t="s">
        <v>766</v>
      </c>
      <c r="F26">
        <v>2026</v>
      </c>
      <c r="G26">
        <v>-1</v>
      </c>
    </row>
    <row r="27" spans="1:7" x14ac:dyDescent="0.2">
      <c r="A27">
        <v>11</v>
      </c>
      <c r="B27" t="s">
        <v>196</v>
      </c>
      <c r="C27" t="s">
        <v>748</v>
      </c>
      <c r="D27" t="s">
        <v>170</v>
      </c>
      <c r="E27" t="s">
        <v>766</v>
      </c>
      <c r="F27">
        <v>2026</v>
      </c>
      <c r="G27">
        <v>-1</v>
      </c>
    </row>
    <row r="28" spans="1:7" x14ac:dyDescent="0.2">
      <c r="A28">
        <v>12</v>
      </c>
      <c r="B28" t="s">
        <v>196</v>
      </c>
      <c r="C28" t="s">
        <v>748</v>
      </c>
      <c r="D28" t="s">
        <v>170</v>
      </c>
      <c r="E28" t="s">
        <v>766</v>
      </c>
      <c r="F28">
        <v>2026</v>
      </c>
      <c r="G28">
        <v>-1</v>
      </c>
    </row>
    <row r="29" spans="1:7" x14ac:dyDescent="0.2">
      <c r="A29">
        <v>13</v>
      </c>
      <c r="B29" t="s">
        <v>196</v>
      </c>
      <c r="C29" t="s">
        <v>771</v>
      </c>
      <c r="D29" t="s">
        <v>167</v>
      </c>
      <c r="E29" t="s">
        <v>772</v>
      </c>
      <c r="F29">
        <v>2016</v>
      </c>
      <c r="G29">
        <v>9</v>
      </c>
    </row>
    <row r="30" spans="1:7" x14ac:dyDescent="0.2">
      <c r="A30">
        <v>14</v>
      </c>
      <c r="B30" t="s">
        <v>196</v>
      </c>
      <c r="C30" t="s">
        <v>762</v>
      </c>
      <c r="D30" t="s">
        <v>164</v>
      </c>
      <c r="E30" t="s">
        <v>774</v>
      </c>
      <c r="F30">
        <v>2021</v>
      </c>
      <c r="G30">
        <v>4</v>
      </c>
    </row>
    <row r="31" spans="1:7" x14ac:dyDescent="0.2">
      <c r="A31">
        <v>15</v>
      </c>
      <c r="B31" t="s">
        <v>216</v>
      </c>
      <c r="C31" t="s">
        <v>748</v>
      </c>
      <c r="D31" t="s">
        <v>170</v>
      </c>
      <c r="E31" t="s">
        <v>782</v>
      </c>
      <c r="F31">
        <v>2026</v>
      </c>
      <c r="G31">
        <v>-1</v>
      </c>
    </row>
    <row r="32" spans="1:7" x14ac:dyDescent="0.2">
      <c r="A32">
        <v>16</v>
      </c>
      <c r="B32" t="s">
        <v>216</v>
      </c>
      <c r="C32" t="s">
        <v>748</v>
      </c>
      <c r="D32" t="s">
        <v>170</v>
      </c>
      <c r="E32" t="s">
        <v>782</v>
      </c>
      <c r="F32">
        <v>2026</v>
      </c>
      <c r="G32">
        <v>-1</v>
      </c>
    </row>
    <row r="33" spans="1:7" x14ac:dyDescent="0.2">
      <c r="A33">
        <v>17</v>
      </c>
      <c r="B33" t="s">
        <v>216</v>
      </c>
      <c r="C33" t="s">
        <v>748</v>
      </c>
      <c r="D33" t="s">
        <v>170</v>
      </c>
      <c r="E33" t="s">
        <v>782</v>
      </c>
      <c r="F33">
        <v>2026</v>
      </c>
      <c r="G33">
        <v>-1</v>
      </c>
    </row>
    <row r="34" spans="1:7" x14ac:dyDescent="0.2">
      <c r="A34">
        <v>18</v>
      </c>
      <c r="B34" t="s">
        <v>192</v>
      </c>
      <c r="C34" t="s">
        <v>764</v>
      </c>
      <c r="D34" t="s">
        <v>170</v>
      </c>
      <c r="E34" t="s">
        <v>786</v>
      </c>
      <c r="F34">
        <v>2018</v>
      </c>
      <c r="G34">
        <v>7</v>
      </c>
    </row>
    <row r="35" spans="1:7" x14ac:dyDescent="0.2">
      <c r="A35">
        <v>19</v>
      </c>
      <c r="B35" t="s">
        <v>216</v>
      </c>
      <c r="C35" t="s">
        <v>762</v>
      </c>
      <c r="D35" t="s">
        <v>164</v>
      </c>
      <c r="E35" t="s">
        <v>787</v>
      </c>
      <c r="F35">
        <v>2021</v>
      </c>
      <c r="G35">
        <v>4</v>
      </c>
    </row>
    <row r="36" spans="1:7" x14ac:dyDescent="0.2">
      <c r="A36">
        <v>20</v>
      </c>
      <c r="B36" t="s">
        <v>216</v>
      </c>
      <c r="C36" t="s">
        <v>754</v>
      </c>
      <c r="D36" t="s">
        <v>161</v>
      </c>
      <c r="E36" t="s">
        <v>788</v>
      </c>
      <c r="F36">
        <v>2011</v>
      </c>
      <c r="G36">
        <v>14</v>
      </c>
    </row>
    <row r="37" spans="1:7" x14ac:dyDescent="0.2">
      <c r="A37">
        <v>21</v>
      </c>
      <c r="B37" t="s">
        <v>216</v>
      </c>
      <c r="C37" t="s">
        <v>761</v>
      </c>
      <c r="D37" t="s">
        <v>167</v>
      </c>
      <c r="E37" t="s">
        <v>792</v>
      </c>
      <c r="F37">
        <v>2023</v>
      </c>
      <c r="G37">
        <v>2</v>
      </c>
    </row>
    <row r="38" spans="1:7" x14ac:dyDescent="0.2">
      <c r="A38">
        <v>22</v>
      </c>
      <c r="B38" t="s">
        <v>216</v>
      </c>
      <c r="C38" t="s">
        <v>793</v>
      </c>
      <c r="D38" t="s">
        <v>161</v>
      </c>
      <c r="E38" t="s">
        <v>794</v>
      </c>
      <c r="F38">
        <v>2022</v>
      </c>
      <c r="G38">
        <v>3</v>
      </c>
    </row>
    <row r="41" spans="1:7" ht="16" x14ac:dyDescent="0.2">
      <c r="A41" s="1" t="s">
        <v>1135</v>
      </c>
    </row>
    <row r="43" spans="1:7" ht="16" x14ac:dyDescent="0.2">
      <c r="A43" s="3" t="s">
        <v>70</v>
      </c>
      <c r="B43" s="3" t="s">
        <v>282</v>
      </c>
      <c r="C43" s="3" t="s">
        <v>1136</v>
      </c>
      <c r="D43" s="3" t="s">
        <v>557</v>
      </c>
      <c r="E43" s="3" t="s">
        <v>1137</v>
      </c>
    </row>
    <row r="44" spans="1:7" x14ac:dyDescent="0.2">
      <c r="A44">
        <v>2025</v>
      </c>
      <c r="B44" t="s">
        <v>1138</v>
      </c>
      <c r="C44" t="s">
        <v>1081</v>
      </c>
      <c r="D44" t="s">
        <v>1138</v>
      </c>
      <c r="E44" t="s">
        <v>1139</v>
      </c>
    </row>
    <row r="45" spans="1:7" x14ac:dyDescent="0.2">
      <c r="A45">
        <v>2030</v>
      </c>
      <c r="B45" t="s">
        <v>1213</v>
      </c>
      <c r="C45" t="s">
        <v>1214</v>
      </c>
      <c r="D45" t="s">
        <v>1215</v>
      </c>
      <c r="E45" t="s">
        <v>1143</v>
      </c>
    </row>
    <row r="46" spans="1:7" x14ac:dyDescent="0.2">
      <c r="A46">
        <v>2035</v>
      </c>
      <c r="B46" t="s">
        <v>1216</v>
      </c>
      <c r="C46" t="s">
        <v>1217</v>
      </c>
      <c r="D46" t="s">
        <v>1218</v>
      </c>
      <c r="E46" t="s">
        <v>1147</v>
      </c>
    </row>
    <row r="47" spans="1:7" x14ac:dyDescent="0.2">
      <c r="A47">
        <v>2040</v>
      </c>
      <c r="B47" t="s">
        <v>1219</v>
      </c>
      <c r="C47" t="s">
        <v>1220</v>
      </c>
      <c r="D47" t="s">
        <v>1221</v>
      </c>
      <c r="E47" t="s">
        <v>1151</v>
      </c>
    </row>
    <row r="48" spans="1:7" x14ac:dyDescent="0.2">
      <c r="A48">
        <v>2045</v>
      </c>
      <c r="B48" t="s">
        <v>1222</v>
      </c>
      <c r="C48" t="s">
        <v>1223</v>
      </c>
      <c r="D48" t="s">
        <v>1224</v>
      </c>
      <c r="E48" t="s">
        <v>1155</v>
      </c>
    </row>
    <row r="49" spans="1:6" x14ac:dyDescent="0.2">
      <c r="A49">
        <v>2050</v>
      </c>
      <c r="B49" t="s">
        <v>1225</v>
      </c>
      <c r="C49" t="s">
        <v>1225</v>
      </c>
      <c r="D49" t="s">
        <v>1081</v>
      </c>
      <c r="E49" t="s">
        <v>1157</v>
      </c>
    </row>
    <row r="52" spans="1:6" ht="16" x14ac:dyDescent="0.2">
      <c r="A52" s="1" t="s">
        <v>1158</v>
      </c>
    </row>
    <row r="54" spans="1:6" ht="16" x14ac:dyDescent="0.2">
      <c r="A54" s="3" t="s">
        <v>1134</v>
      </c>
      <c r="B54" s="3" t="s">
        <v>191</v>
      </c>
      <c r="C54" s="3" t="s">
        <v>746</v>
      </c>
      <c r="D54" s="3" t="s">
        <v>158</v>
      </c>
      <c r="E54" s="3" t="s">
        <v>159</v>
      </c>
      <c r="F54" s="3" t="s">
        <v>1159</v>
      </c>
    </row>
    <row r="55" spans="1:6" x14ac:dyDescent="0.2">
      <c r="A55">
        <v>1</v>
      </c>
      <c r="B55" t="s">
        <v>192</v>
      </c>
      <c r="C55" t="s">
        <v>750</v>
      </c>
      <c r="D55" t="s">
        <v>164</v>
      </c>
      <c r="E55" t="s">
        <v>751</v>
      </c>
      <c r="F55" t="s">
        <v>1163</v>
      </c>
    </row>
    <row r="56" spans="1:6" x14ac:dyDescent="0.2">
      <c r="A56">
        <v>2</v>
      </c>
      <c r="B56" t="s">
        <v>192</v>
      </c>
      <c r="C56" t="s">
        <v>754</v>
      </c>
      <c r="D56" t="s">
        <v>161</v>
      </c>
      <c r="E56" t="s">
        <v>755</v>
      </c>
      <c r="F56" t="s">
        <v>1165</v>
      </c>
    </row>
    <row r="57" spans="1:6" x14ac:dyDescent="0.2">
      <c r="A57">
        <v>3</v>
      </c>
      <c r="B57" t="s">
        <v>196</v>
      </c>
      <c r="C57" t="s">
        <v>752</v>
      </c>
      <c r="D57" t="s">
        <v>161</v>
      </c>
      <c r="E57" t="s">
        <v>753</v>
      </c>
      <c r="F57" t="s">
        <v>1166</v>
      </c>
    </row>
    <row r="58" spans="1:6" x14ac:dyDescent="0.2">
      <c r="A58">
        <v>4</v>
      </c>
      <c r="B58" t="s">
        <v>192</v>
      </c>
      <c r="C58" t="s">
        <v>752</v>
      </c>
      <c r="D58" t="s">
        <v>161</v>
      </c>
      <c r="E58" t="s">
        <v>757</v>
      </c>
      <c r="F58" t="s">
        <v>1171</v>
      </c>
    </row>
    <row r="59" spans="1:6" x14ac:dyDescent="0.2">
      <c r="A59">
        <v>5</v>
      </c>
      <c r="B59" t="s">
        <v>192</v>
      </c>
      <c r="C59" t="s">
        <v>758</v>
      </c>
      <c r="D59" t="s">
        <v>161</v>
      </c>
      <c r="E59" t="s">
        <v>760</v>
      </c>
      <c r="F59" t="s">
        <v>1173</v>
      </c>
    </row>
    <row r="60" spans="1:6" x14ac:dyDescent="0.2">
      <c r="A60">
        <v>6</v>
      </c>
      <c r="B60" t="s">
        <v>192</v>
      </c>
      <c r="C60" t="s">
        <v>761</v>
      </c>
      <c r="D60" t="s">
        <v>170</v>
      </c>
      <c r="E60" t="s">
        <v>760</v>
      </c>
      <c r="F60" t="s">
        <v>1173</v>
      </c>
    </row>
    <row r="61" spans="1:6" x14ac:dyDescent="0.2">
      <c r="A61">
        <v>7</v>
      </c>
      <c r="B61" t="s">
        <v>196</v>
      </c>
      <c r="C61" t="s">
        <v>758</v>
      </c>
      <c r="D61" t="s">
        <v>161</v>
      </c>
      <c r="E61" t="s">
        <v>759</v>
      </c>
      <c r="F61" t="s">
        <v>1174</v>
      </c>
    </row>
    <row r="62" spans="1:6" x14ac:dyDescent="0.2">
      <c r="A62">
        <v>8</v>
      </c>
      <c r="B62" t="s">
        <v>192</v>
      </c>
      <c r="C62" t="s">
        <v>762</v>
      </c>
      <c r="D62" t="s">
        <v>164</v>
      </c>
      <c r="E62" t="s">
        <v>763</v>
      </c>
      <c r="F62" t="s">
        <v>1175</v>
      </c>
    </row>
    <row r="63" spans="1:6" x14ac:dyDescent="0.2">
      <c r="A63">
        <v>9</v>
      </c>
      <c r="B63" t="s">
        <v>196</v>
      </c>
      <c r="C63" t="s">
        <v>764</v>
      </c>
      <c r="D63" t="s">
        <v>170</v>
      </c>
      <c r="E63" t="s">
        <v>765</v>
      </c>
      <c r="F63" t="s">
        <v>1176</v>
      </c>
    </row>
    <row r="64" spans="1:6" x14ac:dyDescent="0.2">
      <c r="A64">
        <v>10</v>
      </c>
      <c r="B64" t="s">
        <v>196</v>
      </c>
      <c r="C64" t="s">
        <v>754</v>
      </c>
      <c r="D64" t="s">
        <v>161</v>
      </c>
      <c r="E64" t="s">
        <v>768</v>
      </c>
      <c r="F64" t="s">
        <v>1181</v>
      </c>
    </row>
    <row r="65" spans="1:6" x14ac:dyDescent="0.2">
      <c r="A65">
        <v>11</v>
      </c>
      <c r="B65" t="s">
        <v>196</v>
      </c>
      <c r="C65" t="s">
        <v>769</v>
      </c>
      <c r="D65" t="s">
        <v>167</v>
      </c>
      <c r="E65" t="s">
        <v>770</v>
      </c>
      <c r="F65" t="s">
        <v>1182</v>
      </c>
    </row>
    <row r="66" spans="1:6" x14ac:dyDescent="0.2">
      <c r="A66">
        <v>12</v>
      </c>
      <c r="B66" t="s">
        <v>196</v>
      </c>
      <c r="C66" t="s">
        <v>771</v>
      </c>
      <c r="D66" t="s">
        <v>167</v>
      </c>
      <c r="E66" t="s">
        <v>772</v>
      </c>
      <c r="F66" t="s">
        <v>1201</v>
      </c>
    </row>
    <row r="67" spans="1:6" x14ac:dyDescent="0.2">
      <c r="A67">
        <v>13</v>
      </c>
      <c r="B67" t="s">
        <v>196</v>
      </c>
      <c r="C67" t="s">
        <v>754</v>
      </c>
      <c r="D67" t="s">
        <v>164</v>
      </c>
      <c r="E67" t="s">
        <v>773</v>
      </c>
      <c r="F67" t="s">
        <v>1204</v>
      </c>
    </row>
    <row r="68" spans="1:6" x14ac:dyDescent="0.2">
      <c r="A68">
        <v>14</v>
      </c>
      <c r="B68" t="s">
        <v>196</v>
      </c>
      <c r="C68" t="s">
        <v>762</v>
      </c>
      <c r="D68" t="s">
        <v>164</v>
      </c>
      <c r="E68" t="s">
        <v>774</v>
      </c>
      <c r="F68" t="s">
        <v>1206</v>
      </c>
    </row>
    <row r="69" spans="1:6" x14ac:dyDescent="0.2">
      <c r="A69">
        <v>15</v>
      </c>
      <c r="B69" t="s">
        <v>216</v>
      </c>
      <c r="C69" t="s">
        <v>777</v>
      </c>
      <c r="D69" t="s">
        <v>161</v>
      </c>
      <c r="E69" t="s">
        <v>778</v>
      </c>
      <c r="F69" t="s">
        <v>1207</v>
      </c>
    </row>
    <row r="70" spans="1:6" x14ac:dyDescent="0.2">
      <c r="A70">
        <v>16</v>
      </c>
      <c r="B70" t="s">
        <v>196</v>
      </c>
      <c r="C70" t="s">
        <v>775</v>
      </c>
      <c r="D70" t="s">
        <v>164</v>
      </c>
      <c r="E70" t="s">
        <v>776</v>
      </c>
      <c r="F70" t="s">
        <v>1207</v>
      </c>
    </row>
    <row r="71" spans="1:6" x14ac:dyDescent="0.2">
      <c r="A71">
        <v>17</v>
      </c>
      <c r="B71" t="s">
        <v>206</v>
      </c>
      <c r="C71" t="s">
        <v>762</v>
      </c>
      <c r="D71" t="s">
        <v>164</v>
      </c>
      <c r="E71" t="s">
        <v>820</v>
      </c>
      <c r="F71" t="s">
        <v>828</v>
      </c>
    </row>
    <row r="72" spans="1:6" x14ac:dyDescent="0.2">
      <c r="A72">
        <v>18</v>
      </c>
      <c r="B72" t="s">
        <v>208</v>
      </c>
      <c r="C72" t="s">
        <v>815</v>
      </c>
      <c r="D72" t="s">
        <v>167</v>
      </c>
      <c r="E72" t="s">
        <v>816</v>
      </c>
      <c r="F72" t="s">
        <v>1226</v>
      </c>
    </row>
    <row r="73" spans="1:6" x14ac:dyDescent="0.2">
      <c r="A73">
        <v>19</v>
      </c>
      <c r="B73" t="s">
        <v>196</v>
      </c>
      <c r="C73" t="s">
        <v>780</v>
      </c>
      <c r="D73" t="s">
        <v>167</v>
      </c>
      <c r="E73" t="s">
        <v>781</v>
      </c>
      <c r="F73" t="s">
        <v>1227</v>
      </c>
    </row>
    <row r="74" spans="1:6" x14ac:dyDescent="0.2">
      <c r="A74">
        <v>20</v>
      </c>
      <c r="B74" t="s">
        <v>206</v>
      </c>
      <c r="C74" t="s">
        <v>815</v>
      </c>
      <c r="D74" t="s">
        <v>167</v>
      </c>
      <c r="E74" t="s">
        <v>825</v>
      </c>
      <c r="F74" t="s">
        <v>1228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26</vt:i4>
      </vt:variant>
    </vt:vector>
  </HeadingPairs>
  <TitlesOfParts>
    <vt:vector size="26" baseType="lpstr">
      <vt:lpstr>1. Executive Summary</vt:lpstr>
      <vt:lpstr>2. Assumptions &amp; References</vt:lpstr>
      <vt:lpstr>3. Facility Database</vt:lpstr>
      <vt:lpstr>4. Emission Methodology</vt:lpstr>
      <vt:lpstr>5. BAU Trajectory</vt:lpstr>
      <vt:lpstr>6. Technology MACC</vt:lpstr>
      <vt:lpstr>7. Optimization Results</vt:lpstr>
      <vt:lpstr>8. Energy Demand</vt:lpstr>
      <vt:lpstr>9. Cost Analysis</vt:lpstr>
      <vt:lpstr>10. References</vt:lpstr>
      <vt:lpstr>11. Regional Analysis</vt:lpstr>
      <vt:lpstr>12. Operating Rate Analysis</vt:lpstr>
      <vt:lpstr>13. NCC-H2 Scenario</vt:lpstr>
      <vt:lpstr>14. Scenario Comparison</vt:lpstr>
      <vt:lpstr>15. 2035 Target Analysis</vt:lpstr>
      <vt:lpstr>16. Learning Curve Sensitivity</vt:lpstr>
      <vt:lpstr>17. Facility Transition</vt:lpstr>
      <vt:lpstr>18. Full Facility Database</vt:lpstr>
      <vt:lpstr>19. Annual MACC Data</vt:lpstr>
      <vt:lpstr>20. 2050 Facility Allocation</vt:lpstr>
      <vt:lpstr>21. Shaheen + NCC-H2</vt:lpstr>
      <vt:lpstr>22. Shaheen + NCC-Elec</vt:lpstr>
      <vt:lpstr>23. Restructure 25% + NC</vt:lpstr>
      <vt:lpstr>24. Restructure 25% + NC</vt:lpstr>
      <vt:lpstr>25. Restructure 40% + NC</vt:lpstr>
      <vt:lpstr>26. Restructure 40% + NC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Jinsu</cp:lastModifiedBy>
  <dcterms:created xsi:type="dcterms:W3CDTF">2025-12-08T18:22:39Z</dcterms:created>
  <dcterms:modified xsi:type="dcterms:W3CDTF">2025-12-08T18:35:41Z</dcterms:modified>
</cp:coreProperties>
</file>